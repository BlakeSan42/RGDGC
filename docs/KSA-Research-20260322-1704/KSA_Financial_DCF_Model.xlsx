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Analysis" sheetId="1" state="visible" r:id="rId1"/>
    <sheet name="Expense Analysis" sheetId="2" state="visible" r:id="rId2"/>
    <sheet name="DCF Model" sheetId="3" state="visible" r:id="rId3"/>
    <sheet name="Assessment Sensitivity" sheetId="4" state="visible" r:id="rId4"/>
    <sheet name="Balance Sheet" sheetId="5" state="visible" r:id="rId5"/>
    <sheet name="RGDGC Impact" sheetId="6" state="visible" r:id="rId6"/>
    <sheet name="Forensic Evid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"/>
    <numFmt numFmtId="166" formatCode="#,##0;[Red](#,##0)"/>
    <numFmt numFmtId="167" formatCode="0.0000"/>
    <numFmt numFmtId="168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1B5E20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B5E20"/>
      <sz val="12"/>
    </font>
    <font>
      <name val="Calibri"/>
      <sz val="11"/>
    </font>
    <font>
      <name val="Calibri"/>
      <b val="1"/>
      <color rgb="00B71C1C"/>
    </font>
    <font>
      <name val="Calibri"/>
      <b val="1"/>
      <color rgb="00B71C1C"/>
      <sz val="12"/>
    </font>
    <font>
      <b val="1"/>
      <color rgb="00B71C1C"/>
    </font>
  </fonts>
  <fills count="7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FFF3E0"/>
        <bgColor rgb="00FFF3E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1" fontId="4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5" fillId="0" borderId="0" pivotButton="0" quotePrefix="0" xfId="0"/>
    <xf numFmtId="0" fontId="4" fillId="0" borderId="1" applyAlignment="1" pivotButton="0" quotePrefix="0" xfId="0">
      <alignment horizontal="center"/>
    </xf>
    <xf numFmtId="1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1" fontId="0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4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8" fontId="0" fillId="3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0" fontId="6" fillId="0" borderId="0" pivotButton="0" quotePrefix="0" xfId="0"/>
    <xf numFmtId="168" fontId="0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9" customWidth="1" min="3" max="3"/>
    <col width="21" customWidth="1" min="4" max="4"/>
    <col width="26" customWidth="1" min="5" max="5"/>
    <col width="23" customWidth="1" min="6" max="6"/>
    <col width="19" customWidth="1" min="7" max="7"/>
    <col width="16" customWidth="1" min="8" max="8"/>
    <col width="23" customWidth="1" min="9" max="9"/>
    <col width="24" customWidth="1" min="10" max="10"/>
    <col width="26" customWidth="1" min="11" max="11"/>
  </cols>
  <sheetData>
    <row r="1">
      <c r="A1" s="1" t="inlineStr">
        <is>
          <t>KSA COMPLETE REVENUE ANALYSIS — WHERE EVERY DOLLAR COMES FROM</t>
        </is>
      </c>
    </row>
    <row r="2">
      <c r="A2" s="2" t="inlineStr">
        <is>
          <t>Source: IRS Form 990 (2011-2024) | EIN: 74-1891991 | 29 member associations | ~23,354 equivalent units</t>
        </is>
      </c>
    </row>
    <row r="3"/>
    <row r="4">
      <c r="A4" s="3" t="inlineStr">
        <is>
          <t>Year</t>
        </is>
      </c>
      <c r="B4" s="3" t="inlineStr">
        <is>
          <t>Program Svc Rev
(Assessments+Leases)</t>
        </is>
      </c>
      <c r="C4" s="3" t="inlineStr">
        <is>
          <t>Investment
Income</t>
        </is>
      </c>
      <c r="D4" s="3" t="inlineStr">
        <is>
          <t>Other
Revenue</t>
        </is>
      </c>
      <c r="E4" s="3" t="inlineStr">
        <is>
          <t>Total
Revenue</t>
        </is>
      </c>
      <c r="F4" s="3" t="inlineStr">
        <is>
          <t>Assessment
% of Total</t>
        </is>
      </c>
      <c r="G4" s="3" t="inlineStr">
        <is>
          <t>Invest %
of Total</t>
        </is>
      </c>
      <c r="H4" s="3" t="inlineStr">
        <is>
          <t>YoY Rev
Growth</t>
        </is>
      </c>
      <c r="I4" s="3" t="inlineStr">
        <is>
          <t>Implied Per
Unit Cost</t>
        </is>
      </c>
      <c r="J4" s="3" t="inlineStr">
        <is>
          <t>Program Rev
YoY Growth</t>
        </is>
      </c>
      <c r="K4" s="3" t="inlineStr">
        <is>
          <t>Invest Inc
YoY Growth</t>
        </is>
      </c>
    </row>
    <row r="5">
      <c r="A5" s="4" t="n">
        <v>2011</v>
      </c>
      <c r="B5" s="5" t="n">
        <v>798934</v>
      </c>
      <c r="C5" s="5" t="n">
        <v>13444</v>
      </c>
      <c r="D5" s="5" t="n">
        <v>7510</v>
      </c>
      <c r="E5" s="6">
        <f>B5+C5+D5</f>
        <v/>
      </c>
      <c r="F5" s="7">
        <f>B5/E5</f>
        <v/>
      </c>
      <c r="G5" s="7">
        <f>C5/E5</f>
        <v/>
      </c>
      <c r="I5" s="8">
        <f>B5/23354</f>
        <v/>
      </c>
    </row>
    <row r="6">
      <c r="A6" s="4" t="n">
        <v>2012</v>
      </c>
      <c r="B6" s="5" t="n">
        <v>639431</v>
      </c>
      <c r="C6" s="5" t="n">
        <v>6389</v>
      </c>
      <c r="D6" s="5" t="n">
        <v>16595</v>
      </c>
      <c r="E6" s="6">
        <f>B6+C6+D6</f>
        <v/>
      </c>
      <c r="F6" s="7">
        <f>B6/E6</f>
        <v/>
      </c>
      <c r="G6" s="7">
        <f>C6/E6</f>
        <v/>
      </c>
      <c r="H6" s="7">
        <f>E6/E5-1</f>
        <v/>
      </c>
      <c r="I6" s="8">
        <f>B6/23354</f>
        <v/>
      </c>
      <c r="J6" s="7">
        <f>B6/B5-1</f>
        <v/>
      </c>
      <c r="K6" s="7">
        <f>IF(C5=0,"N/A",C6/C5-1)</f>
        <v/>
      </c>
    </row>
    <row r="7">
      <c r="A7" s="4" t="n">
        <v>2013</v>
      </c>
      <c r="B7" s="5" t="n">
        <v>832330</v>
      </c>
      <c r="C7" s="5" t="n">
        <v>4728</v>
      </c>
      <c r="D7" s="5" t="n">
        <v>8320</v>
      </c>
      <c r="E7" s="6">
        <f>B7+C7+D7</f>
        <v/>
      </c>
      <c r="F7" s="7">
        <f>B7/E7</f>
        <v/>
      </c>
      <c r="G7" s="7">
        <f>C7/E7</f>
        <v/>
      </c>
      <c r="H7" s="7">
        <f>E7/E6-1</f>
        <v/>
      </c>
      <c r="I7" s="8">
        <f>B7/23354</f>
        <v/>
      </c>
      <c r="J7" s="7">
        <f>B7/B6-1</f>
        <v/>
      </c>
      <c r="K7" s="7">
        <f>IF(C6=0,"N/A",C7/C6-1)</f>
        <v/>
      </c>
    </row>
    <row r="8">
      <c r="A8" s="4" t="n">
        <v>2014</v>
      </c>
      <c r="B8" s="5" t="n">
        <v>748124</v>
      </c>
      <c r="C8" s="5" t="n">
        <v>4563</v>
      </c>
      <c r="D8" s="5" t="n">
        <v>7790</v>
      </c>
      <c r="E8" s="6">
        <f>B8+C8+D8</f>
        <v/>
      </c>
      <c r="F8" s="7">
        <f>B8/E8</f>
        <v/>
      </c>
      <c r="G8" s="7">
        <f>C8/E8</f>
        <v/>
      </c>
      <c r="H8" s="7">
        <f>E8/E7-1</f>
        <v/>
      </c>
      <c r="I8" s="8">
        <f>B8/23354</f>
        <v/>
      </c>
      <c r="J8" s="7">
        <f>B8/B7-1</f>
        <v/>
      </c>
      <c r="K8" s="7">
        <f>IF(C7=0,"N/A",C8/C7-1)</f>
        <v/>
      </c>
    </row>
    <row r="9">
      <c r="A9" s="4" t="n">
        <v>2015</v>
      </c>
      <c r="B9" s="5" t="n">
        <v>823714</v>
      </c>
      <c r="C9" s="5" t="n">
        <v>6044</v>
      </c>
      <c r="D9" s="5" t="n">
        <v>8575</v>
      </c>
      <c r="E9" s="6">
        <f>B9+C9+D9</f>
        <v/>
      </c>
      <c r="F9" s="7">
        <f>B9/E9</f>
        <v/>
      </c>
      <c r="G9" s="7">
        <f>C9/E9</f>
        <v/>
      </c>
      <c r="H9" s="7">
        <f>E9/E8-1</f>
        <v/>
      </c>
      <c r="I9" s="8">
        <f>B9/23354</f>
        <v/>
      </c>
      <c r="J9" s="7">
        <f>B9/B8-1</f>
        <v/>
      </c>
      <c r="K9" s="7">
        <f>IF(C8=0,"N/A",C9/C8-1)</f>
        <v/>
      </c>
    </row>
    <row r="10">
      <c r="A10" s="4" t="n">
        <v>2016</v>
      </c>
      <c r="B10" s="5" t="n">
        <v>889400</v>
      </c>
      <c r="C10" s="5" t="n">
        <v>9674</v>
      </c>
      <c r="D10" s="5" t="n">
        <v>5490</v>
      </c>
      <c r="E10" s="6">
        <f>B10+C10+D10</f>
        <v/>
      </c>
      <c r="F10" s="7">
        <f>B10/E10</f>
        <v/>
      </c>
      <c r="G10" s="7">
        <f>C10/E10</f>
        <v/>
      </c>
      <c r="H10" s="7">
        <f>E10/E9-1</f>
        <v/>
      </c>
      <c r="I10" s="8">
        <f>B10/23354</f>
        <v/>
      </c>
      <c r="J10" s="7">
        <f>B10/B9-1</f>
        <v/>
      </c>
      <c r="K10" s="7">
        <f>IF(C9=0,"N/A",C10/C9-1)</f>
        <v/>
      </c>
    </row>
    <row r="11">
      <c r="A11" s="4" t="n">
        <v>2017</v>
      </c>
      <c r="B11" s="5" t="n">
        <v>873548</v>
      </c>
      <c r="C11" s="5" t="n">
        <v>10486</v>
      </c>
      <c r="D11" s="5" t="n">
        <v>0</v>
      </c>
      <c r="E11" s="6">
        <f>B11+C11+D11</f>
        <v/>
      </c>
      <c r="F11" s="7">
        <f>B11/E11</f>
        <v/>
      </c>
      <c r="G11" s="7">
        <f>C11/E11</f>
        <v/>
      </c>
      <c r="H11" s="7">
        <f>E11/E10-1</f>
        <v/>
      </c>
      <c r="I11" s="8">
        <f>B11/23354</f>
        <v/>
      </c>
      <c r="J11" s="7">
        <f>B11/B10-1</f>
        <v/>
      </c>
      <c r="K11" s="7">
        <f>IF(C10=0,"N/A",C11/C10-1)</f>
        <v/>
      </c>
    </row>
    <row r="12">
      <c r="A12" s="4" t="n">
        <v>2018</v>
      </c>
      <c r="B12" s="5" t="n">
        <v>904037</v>
      </c>
      <c r="C12" s="5" t="n">
        <v>22436</v>
      </c>
      <c r="D12" s="5" t="n">
        <v>0</v>
      </c>
      <c r="E12" s="6">
        <f>B12+C12+D12</f>
        <v/>
      </c>
      <c r="F12" s="7">
        <f>B12/E12</f>
        <v/>
      </c>
      <c r="G12" s="7">
        <f>C12/E12</f>
        <v/>
      </c>
      <c r="H12" s="7">
        <f>E12/E11-1</f>
        <v/>
      </c>
      <c r="I12" s="8">
        <f>B12/23354</f>
        <v/>
      </c>
      <c r="J12" s="7">
        <f>B12/B11-1</f>
        <v/>
      </c>
      <c r="K12" s="7">
        <f>IF(C11=0,"N/A",C12/C11-1)</f>
        <v/>
      </c>
    </row>
    <row r="13">
      <c r="A13" s="4" t="n">
        <v>2019</v>
      </c>
      <c r="B13" s="5" t="n">
        <v>961787</v>
      </c>
      <c r="C13" s="5" t="n">
        <v>36464</v>
      </c>
      <c r="D13" s="5" t="n">
        <v>0</v>
      </c>
      <c r="E13" s="6">
        <f>B13+C13+D13</f>
        <v/>
      </c>
      <c r="F13" s="7">
        <f>B13/E13</f>
        <v/>
      </c>
      <c r="G13" s="7">
        <f>C13/E13</f>
        <v/>
      </c>
      <c r="H13" s="7">
        <f>E13/E12-1</f>
        <v/>
      </c>
      <c r="I13" s="8">
        <f>B13/23354</f>
        <v/>
      </c>
      <c r="J13" s="7">
        <f>B13/B12-1</f>
        <v/>
      </c>
      <c r="K13" s="7">
        <f>IF(C12=0,"N/A",C13/C12-1)</f>
        <v/>
      </c>
    </row>
    <row r="14">
      <c r="A14" s="4" t="n">
        <v>2020</v>
      </c>
      <c r="B14" s="5" t="n">
        <v>1014760</v>
      </c>
      <c r="C14" s="5" t="n">
        <v>16474</v>
      </c>
      <c r="D14" s="5" t="n">
        <v>0</v>
      </c>
      <c r="E14" s="6">
        <f>B14+C14+D14</f>
        <v/>
      </c>
      <c r="F14" s="7">
        <f>B14/E14</f>
        <v/>
      </c>
      <c r="G14" s="7">
        <f>C14/E14</f>
        <v/>
      </c>
      <c r="H14" s="7">
        <f>E14/E13-1</f>
        <v/>
      </c>
      <c r="I14" s="8">
        <f>B14/23354</f>
        <v/>
      </c>
      <c r="J14" s="7">
        <f>B14/B13-1</f>
        <v/>
      </c>
      <c r="K14" s="7">
        <f>IF(C13=0,"N/A",C14/C13-1)</f>
        <v/>
      </c>
    </row>
    <row r="15">
      <c r="A15" s="4" t="n">
        <v>2021</v>
      </c>
      <c r="B15" s="5" t="n">
        <v>1024453</v>
      </c>
      <c r="C15" s="5" t="n">
        <v>15504</v>
      </c>
      <c r="D15" s="5" t="n">
        <v>0</v>
      </c>
      <c r="E15" s="6">
        <f>B15+C15+D15</f>
        <v/>
      </c>
      <c r="F15" s="7">
        <f>B15/E15</f>
        <v/>
      </c>
      <c r="G15" s="7">
        <f>C15/E15</f>
        <v/>
      </c>
      <c r="H15" s="7">
        <f>E15/E14-1</f>
        <v/>
      </c>
      <c r="I15" s="8">
        <f>B15/23354</f>
        <v/>
      </c>
      <c r="J15" s="7">
        <f>B15/B14-1</f>
        <v/>
      </c>
      <c r="K15" s="7">
        <f>IF(C14=0,"N/A",C15/C14-1)</f>
        <v/>
      </c>
    </row>
    <row r="16">
      <c r="A16" s="4" t="n">
        <v>2022</v>
      </c>
      <c r="B16" s="5" t="n">
        <v>1014641</v>
      </c>
      <c r="C16" s="5" t="n">
        <v>20222</v>
      </c>
      <c r="D16" s="5" t="n">
        <v>0</v>
      </c>
      <c r="E16" s="6">
        <f>B16+C16+D16</f>
        <v/>
      </c>
      <c r="F16" s="7">
        <f>B16/E16</f>
        <v/>
      </c>
      <c r="G16" s="7">
        <f>C16/E16</f>
        <v/>
      </c>
      <c r="H16" s="7">
        <f>E16/E15-1</f>
        <v/>
      </c>
      <c r="I16" s="8">
        <f>B16/23354</f>
        <v/>
      </c>
      <c r="J16" s="7">
        <f>B16/B15-1</f>
        <v/>
      </c>
      <c r="K16" s="7">
        <f>IF(C15=0,"N/A",C16/C15-1)</f>
        <v/>
      </c>
    </row>
    <row r="17">
      <c r="A17" s="4" t="n">
        <v>2023</v>
      </c>
      <c r="B17" s="5" t="n">
        <v>991094</v>
      </c>
      <c r="C17" s="5" t="n">
        <v>50707</v>
      </c>
      <c r="D17" s="5" t="n">
        <v>0</v>
      </c>
      <c r="E17" s="6">
        <f>B17+C17+D17</f>
        <v/>
      </c>
      <c r="F17" s="7">
        <f>B17/E17</f>
        <v/>
      </c>
      <c r="G17" s="7">
        <f>C17/E17</f>
        <v/>
      </c>
      <c r="H17" s="7">
        <f>E17/E16-1</f>
        <v/>
      </c>
      <c r="I17" s="8">
        <f>B17/23354</f>
        <v/>
      </c>
      <c r="J17" s="7">
        <f>B17/B16-1</f>
        <v/>
      </c>
      <c r="K17" s="7">
        <f>IF(C16=0,"N/A",C17/C16-1)</f>
        <v/>
      </c>
    </row>
    <row r="18">
      <c r="A18" s="4" t="n">
        <v>2024</v>
      </c>
      <c r="B18" s="5" t="n">
        <v>958464</v>
      </c>
      <c r="C18" s="5" t="n">
        <v>90457</v>
      </c>
      <c r="D18" s="5" t="n">
        <v>0</v>
      </c>
      <c r="E18" s="6">
        <f>B18+C18+D18</f>
        <v/>
      </c>
      <c r="F18" s="7">
        <f>B18/E18</f>
        <v/>
      </c>
      <c r="G18" s="7">
        <f>C18/E18</f>
        <v/>
      </c>
      <c r="H18" s="7">
        <f>E18/E17-1</f>
        <v/>
      </c>
      <c r="I18" s="8">
        <f>B18/23354</f>
        <v/>
      </c>
      <c r="J18" s="7">
        <f>B18/B17-1</f>
        <v/>
      </c>
      <c r="K18" s="7">
        <f>IF(C17=0,"N/A",C18/C17-1)</f>
        <v/>
      </c>
    </row>
    <row r="19"/>
    <row r="20">
      <c r="A20" s="9" t="inlineStr">
        <is>
          <t>REVENUE SUMMARY STATISTICS</t>
        </is>
      </c>
    </row>
    <row r="21">
      <c r="A21" s="10" t="inlineStr">
        <is>
          <t>14-Year Avg Total Revenue</t>
        </is>
      </c>
      <c r="B21" s="6">
        <f>AVERAGE(E5:E18)</f>
        <v/>
      </c>
    </row>
    <row r="22">
      <c r="A22" s="10" t="inlineStr">
        <is>
          <t>14-Year Avg Program Svc Rev</t>
        </is>
      </c>
      <c r="B22" s="6">
        <f>AVERAGE(B5:B18)</f>
        <v/>
      </c>
    </row>
    <row r="23">
      <c r="A23" s="10" t="inlineStr">
        <is>
          <t>14-Year Avg Investment Inc</t>
        </is>
      </c>
      <c r="B23" s="6">
        <f>AVERAGE(C5:C18)</f>
        <v/>
      </c>
    </row>
    <row r="24">
      <c r="A24" s="10" t="inlineStr">
        <is>
          <t>Revenue CAGR (2011→2024)</t>
        </is>
      </c>
      <c r="B24" s="11">
        <f>(E18/E5)^(1/13)-1</f>
        <v/>
      </c>
    </row>
    <row r="25">
      <c r="A25" s="10" t="inlineStr">
        <is>
          <t>Program Svc CAGR</t>
        </is>
      </c>
      <c r="B25" s="11">
        <f>(B18/B5)^(1/13)-1</f>
        <v/>
      </c>
    </row>
    <row r="26">
      <c r="A26" s="10" t="inlineStr">
        <is>
          <t>Investment Inc CAGR</t>
        </is>
      </c>
      <c r="B26" s="11">
        <f>(C18/C5)^(1/13)-1</f>
        <v/>
      </c>
    </row>
    <row r="27">
      <c r="A27" s="10" t="inlineStr">
        <is>
          <t>Avg Per-Unit Assessment</t>
        </is>
      </c>
      <c r="B27" s="8">
        <f>AVERAGE(I5:I18)</f>
        <v/>
      </c>
    </row>
    <row r="28">
      <c r="A28" s="10" t="inlineStr">
        <is>
          <t>2024 Per-Unit Assessment</t>
        </is>
      </c>
      <c r="B28" s="8">
        <f>I18</f>
        <v/>
      </c>
    </row>
    <row r="29">
      <c r="A29" s="10" t="inlineStr">
        <is>
          <t>Revenue Volatility (Std Dev)</t>
        </is>
      </c>
      <c r="B29" s="6">
        <f>STDEV(E5:E18)</f>
        <v/>
      </c>
    </row>
    <row r="30">
      <c r="A30" s="10" t="inlineStr">
        <is>
          <t>Max Single-Year Revenue</t>
        </is>
      </c>
      <c r="B30" s="6">
        <f>MAX(E5:E18)</f>
        <v/>
      </c>
    </row>
    <row r="31">
      <c r="A31" s="10" t="inlineStr">
        <is>
          <t>Min Single-Year Revenue</t>
        </is>
      </c>
      <c r="B31" s="6">
        <f>MIN(E5:E18)</f>
        <v/>
      </c>
    </row>
    <row r="32"/>
    <row r="33"/>
    <row r="34">
      <c r="A34" s="9" t="inlineStr">
        <is>
          <t>IDENTIFIED REVENUE STREAMS</t>
        </is>
      </c>
    </row>
    <row r="35">
      <c r="A35" s="2" t="inlineStr">
        <is>
          <t>All revenue flows through TWO lines on the 990:</t>
        </is>
      </c>
    </row>
    <row r="36"/>
    <row r="37">
      <c r="A37" s="3" t="inlineStr">
        <is>
          <t>Revenue Stream</t>
        </is>
      </c>
      <c r="B37" s="3" t="inlineStr">
        <is>
          <t>Rate/Basis</t>
        </is>
      </c>
      <c r="C37" s="3" t="inlineStr">
        <is>
          <t>Annual Amount</t>
        </is>
      </c>
      <c r="D37" s="3" t="inlineStr">
        <is>
          <t>% of Total</t>
        </is>
      </c>
      <c r="E37" s="3" t="inlineStr">
        <is>
          <t>Notes</t>
        </is>
      </c>
    </row>
    <row r="38">
      <c r="A38" s="10" t="inlineStr">
        <is>
          <t>1. Quarterly Pro-Rata Assessments</t>
        </is>
      </c>
      <c r="B38" s="12" t="inlineStr">
        <is>
          <t>~$41/equivalent unit/year</t>
        </is>
      </c>
      <c r="C38" s="12" t="inlineStr">
        <is>
          <t>~$958K</t>
        </is>
      </c>
      <c r="D38" s="12" t="inlineStr">
        <is>
          <t>91%</t>
        </is>
      </c>
      <c r="E38" s="13" t="inlineStr">
        <is>
          <t>Billed to 29 member associations based on equivalent units. Villages pass cost to homeowners within HOA dues.</t>
        </is>
      </c>
    </row>
    <row r="39">
      <c r="A39" s="10" t="inlineStr">
        <is>
          <t>2. Field Lease Income (bundled)</t>
        </is>
      </c>
      <c r="B39" s="12" t="inlineStr">
        <is>
          <t>Unknown per lease</t>
        </is>
      </c>
      <c r="C39" s="12" t="inlineStr">
        <is>
          <t>Bundled in #1</t>
        </is>
      </c>
      <c r="D39" s="12" t="inlineStr">
        <is>
          <t>?%</t>
        </is>
      </c>
      <c r="E39" s="13" t="inlineStr">
        <is>
          <t>6+ active leases to youth sports orgs. Reports as $0 'net rental income' — likely bundled in program services or at-cost.</t>
        </is>
      </c>
    </row>
    <row r="40">
      <c r="A40" s="10" t="inlineStr">
        <is>
          <t>3. Investment Income</t>
        </is>
      </c>
      <c r="B40" s="12" t="inlineStr">
        <is>
          <t>3-4% yield on reserves</t>
        </is>
      </c>
      <c r="C40" s="12" t="inlineStr">
        <is>
          <t>~$90K</t>
        </is>
      </c>
      <c r="D40" s="12" t="inlineStr">
        <is>
          <t>8.6%</t>
        </is>
      </c>
      <c r="E40" s="13" t="inlineStr">
        <is>
          <t>Interest/dividends on $2.1M cash reserves. Grew 572% from 2015-2024 as reserves and rates increased.</t>
        </is>
      </c>
    </row>
    <row r="41">
      <c r="A41" s="10" t="inlineStr">
        <is>
          <t>4. Other/Misc Revenue</t>
        </is>
      </c>
      <c r="B41" s="12" t="inlineStr">
        <is>
          <t>Varies</t>
        </is>
      </c>
      <c r="C41" s="12" t="inlineStr">
        <is>
          <t>$0 (recent)</t>
        </is>
      </c>
      <c r="D41" s="12" t="inlineStr">
        <is>
          <t>&lt;1%</t>
        </is>
      </c>
      <c r="E41" s="13" t="inlineStr">
        <is>
          <t>Was $5-17K/yr (2011-2016), dropped to $0 from 2017. May have been K-sticker fees, pavilion rentals.</t>
        </is>
      </c>
    </row>
    <row r="42">
      <c r="A42" s="10" t="inlineStr">
        <is>
          <t>5. KSA Parks Foundation</t>
        </is>
      </c>
      <c r="B42" s="12" t="inlineStr">
        <is>
          <t>Tax-deductible donations</t>
        </is>
      </c>
      <c r="C42" s="12" t="inlineStr">
        <is>
          <t>&lt;$50K/yr</t>
        </is>
      </c>
      <c r="D42" s="12" t="inlineStr">
        <is>
          <t>Separate</t>
        </is>
      </c>
      <c r="E42" s="13" t="inlineStr">
        <is>
          <t>Separate 501(c)(3) entity (EIN 27-1433729). Files 990-N. Funds Trees for Kingwood, park donations.</t>
        </is>
      </c>
    </row>
    <row r="43">
      <c r="A43" s="10" t="inlineStr">
        <is>
          <t>6. TxDOT Matching Grants</t>
        </is>
      </c>
      <c r="B43" s="12" t="inlineStr">
        <is>
          <t>State highway landscaping</t>
        </is>
      </c>
      <c r="C43" s="12" t="inlineStr">
        <is>
          <t>$50K (2009)</t>
        </is>
      </c>
      <c r="D43" s="12" t="inlineStr">
        <is>
          <t>One-time</t>
        </is>
      </c>
      <c r="E43" s="13" t="inlineStr">
        <is>
          <t>Matching funds for entryway landscaping along state right-of-way. Not consistent.</t>
        </is>
      </c>
    </row>
    <row r="44">
      <c r="A44" s="10" t="inlineStr">
        <is>
          <t>7. FEMA / Insurance Claims</t>
        </is>
      </c>
      <c r="B44" s="12" t="inlineStr">
        <is>
          <t>Post-disaster</t>
        </is>
      </c>
      <c r="C44" s="12" t="inlineStr">
        <is>
          <t>Unknown</t>
        </is>
      </c>
      <c r="D44" s="12" t="inlineStr">
        <is>
          <t>Irregular</t>
        </is>
      </c>
      <c r="E44" s="13" t="inlineStr">
        <is>
          <t>No FEMA income visible on 990s. Harvey recovery costs may have been self-funded from reserves.</t>
        </is>
      </c>
    </row>
    <row r="45"/>
    <row r="46"/>
    <row r="47">
      <c r="A47" s="9" t="inlineStr">
        <is>
          <t>KNOWN FIELD LEASE AGREEMENTS</t>
        </is>
      </c>
    </row>
    <row r="48">
      <c r="A48" s="3" t="inlineStr">
        <is>
          <t>Organization</t>
        </is>
      </c>
      <c r="B48" s="3" t="inlineStr">
        <is>
          <t>Park</t>
        </is>
      </c>
      <c r="C48" s="3" t="inlineStr">
        <is>
          <t>Facility</t>
        </is>
      </c>
      <c r="D48" s="3" t="inlineStr">
        <is>
          <t>Status</t>
        </is>
      </c>
      <c r="E48" s="3" t="inlineStr">
        <is>
          <t>Notes</t>
        </is>
      </c>
    </row>
    <row r="49">
      <c r="A49" s="12" t="inlineStr">
        <is>
          <t>Kingwood Alliance Soccer Club</t>
        </is>
      </c>
      <c r="B49" s="12" t="inlineStr">
        <is>
          <t>River Grove + Northpark</t>
        </is>
      </c>
      <c r="C49" s="12" t="inlineStr">
        <is>
          <t>Soccer fields</t>
        </is>
      </c>
      <c r="D49" s="12" t="inlineStr">
        <is>
          <t>Active</t>
        </is>
      </c>
      <c r="E49" s="13" t="inlineStr">
        <is>
          <t>Lessees pay own utilities + maintenance (confirmed by KWFCBA)</t>
        </is>
      </c>
    </row>
    <row r="50">
      <c r="A50" s="12" t="inlineStr">
        <is>
          <t>Kingwood Youth Lacrosse (KYLAX)</t>
        </is>
      </c>
      <c r="B50" s="12" t="inlineStr">
        <is>
          <t>River Grove</t>
        </is>
      </c>
      <c r="C50" s="12" t="inlineStr">
        <is>
          <t>Lacrosse fields</t>
        </is>
      </c>
      <c r="D50" s="12" t="inlineStr">
        <is>
          <t>Active</t>
        </is>
      </c>
      <c r="E50" s="13" t="inlineStr"/>
    </row>
    <row r="51">
      <c r="A51" s="12" t="inlineStr">
        <is>
          <t>Kingwood/Forest Cove Baseball Assn</t>
        </is>
      </c>
      <c r="B51" s="12" t="inlineStr">
        <is>
          <t>Deer Ridge</t>
        </is>
      </c>
      <c r="C51" s="12" t="inlineStr">
        <is>
          <t>Baseball fields</t>
        </is>
      </c>
      <c r="D51" s="12" t="inlineStr">
        <is>
          <t>Active</t>
        </is>
      </c>
      <c r="E51" s="13" t="inlineStr"/>
    </row>
    <row r="52">
      <c r="A52" s="12" t="inlineStr">
        <is>
          <t>Kingwood Girls Softball Assn</t>
        </is>
      </c>
      <c r="B52" s="12" t="inlineStr">
        <is>
          <t>Northpark</t>
        </is>
      </c>
      <c r="C52" s="12" t="inlineStr">
        <is>
          <t>Softball fields</t>
        </is>
      </c>
      <c r="D52" s="12" t="inlineStr">
        <is>
          <t>Active</t>
        </is>
      </c>
      <c r="E52" s="13" t="inlineStr"/>
    </row>
    <row r="53">
      <c r="A53" s="12" t="inlineStr">
        <is>
          <t>Kingwood Adult Softball Assn</t>
        </is>
      </c>
      <c r="B53" s="12" t="inlineStr">
        <is>
          <t>Northpark</t>
        </is>
      </c>
      <c r="C53" s="12" t="inlineStr">
        <is>
          <t>Softball fields</t>
        </is>
      </c>
      <c r="D53" s="12" t="inlineStr">
        <is>
          <t>Active</t>
        </is>
      </c>
      <c r="E53" s="13" t="inlineStr"/>
    </row>
    <row r="54">
      <c r="A54" s="12" t="inlineStr">
        <is>
          <t>Kingwood Horsemen's Assn / Trail's End</t>
        </is>
      </c>
      <c r="B54" s="12" t="inlineStr">
        <is>
          <t>Deer Ridge</t>
        </is>
      </c>
      <c r="C54" s="12" t="inlineStr">
        <is>
          <t>Stables/pasture</t>
        </is>
      </c>
      <c r="D54" s="12" t="inlineStr">
        <is>
          <t>Active (since 1980)</t>
        </is>
      </c>
      <c r="E54" s="13" t="inlineStr"/>
    </row>
    <row r="55">
      <c r="A55" s="12" t="inlineStr">
        <is>
          <t>Texas HeatWave Soccer Club</t>
        </is>
      </c>
      <c r="B55" s="12" t="inlineStr">
        <is>
          <t>Deer Ridge</t>
        </is>
      </c>
      <c r="C55" s="12" t="inlineStr">
        <is>
          <t>Soccer fields</t>
        </is>
      </c>
      <c r="D55" s="12" t="inlineStr">
        <is>
          <t>Terminated 2010</t>
        </is>
      </c>
      <c r="E55" s="13" t="inlineStr"/>
    </row>
  </sheetData>
  <mergeCells count="3">
    <mergeCell ref="A2:K2"/>
    <mergeCell ref="A1:K1"/>
    <mergeCell ref="A35:K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B35"/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13" customWidth="1" min="3" max="3"/>
    <col width="26" customWidth="1" min="4" max="4"/>
    <col width="12" customWidth="1" min="5" max="5"/>
    <col width="20" customWidth="1" min="6" max="6"/>
    <col width="21" customWidth="1" min="7" max="7"/>
    <col width="20" customWidth="1" min="8" max="8"/>
    <col width="26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KSA EXPENSE ANALYSIS — WHERE EVERY DOLLAR GOES</t>
        </is>
      </c>
    </row>
    <row r="2">
      <c r="A2" s="2" t="inlineStr">
        <is>
          <t>Budget categories from KSA presentations (2009, 2012). 990 detail locked in scanned PDFs.</t>
        </is>
      </c>
    </row>
    <row r="3"/>
    <row r="4">
      <c r="A4" s="3" t="inlineStr">
        <is>
          <t>Year</t>
        </is>
      </c>
      <c r="B4" s="3" t="inlineStr">
        <is>
          <t>Total
Expenses</t>
        </is>
      </c>
      <c r="C4" s="3" t="inlineStr">
        <is>
          <t>YoY
Change</t>
        </is>
      </c>
      <c r="D4" s="3" t="inlineStr">
        <is>
          <t>Total
Revenue</t>
        </is>
      </c>
      <c r="E4" s="3" t="inlineStr">
        <is>
          <t>Net
Income</t>
        </is>
      </c>
      <c r="F4" s="3" t="inlineStr">
        <is>
          <t>Expense/
Revenue</t>
        </is>
      </c>
      <c r="G4" s="3" t="inlineStr">
        <is>
          <t>Per Unit
Expense</t>
        </is>
      </c>
      <c r="H4" s="3" t="inlineStr">
        <is>
          <t>Expense
Volatility</t>
        </is>
      </c>
    </row>
    <row r="5">
      <c r="A5" s="4" t="n">
        <v>2011</v>
      </c>
      <c r="B5" s="5" t="n">
        <v>743479</v>
      </c>
      <c r="D5" s="5" t="n">
        <v>819888</v>
      </c>
      <c r="E5" s="14">
        <f>D5-B5</f>
        <v/>
      </c>
      <c r="F5" s="7">
        <f>B5/D5</f>
        <v/>
      </c>
      <c r="G5" s="8">
        <f>B5/23354</f>
        <v/>
      </c>
    </row>
    <row r="6">
      <c r="A6" s="4" t="n">
        <v>2012</v>
      </c>
      <c r="B6" s="5" t="n">
        <v>724047</v>
      </c>
      <c r="C6" s="7">
        <f>B6/B5-1</f>
        <v/>
      </c>
      <c r="D6" s="5" t="n">
        <v>662415</v>
      </c>
      <c r="E6" s="14">
        <f>D6-B6</f>
        <v/>
      </c>
      <c r="F6" s="7">
        <f>B6/D6</f>
        <v/>
      </c>
      <c r="G6" s="8">
        <f>B6/23354</f>
        <v/>
      </c>
    </row>
    <row r="7">
      <c r="A7" s="4" t="n">
        <v>2013</v>
      </c>
      <c r="B7" s="5" t="n">
        <v>911275</v>
      </c>
      <c r="C7" s="7">
        <f>B7/B6-1</f>
        <v/>
      </c>
      <c r="D7" s="5" t="n">
        <v>845378</v>
      </c>
      <c r="E7" s="14">
        <f>D7-B7</f>
        <v/>
      </c>
      <c r="F7" s="7">
        <f>B7/D7</f>
        <v/>
      </c>
      <c r="G7" s="8">
        <f>B7/23354</f>
        <v/>
      </c>
    </row>
    <row r="8">
      <c r="A8" s="4" t="n">
        <v>2014</v>
      </c>
      <c r="B8" s="5" t="n">
        <v>649890</v>
      </c>
      <c r="C8" s="7">
        <f>B8/B7-1</f>
        <v/>
      </c>
      <c r="D8" s="5" t="n">
        <v>760477</v>
      </c>
      <c r="E8" s="14">
        <f>D8-B8</f>
        <v/>
      </c>
      <c r="F8" s="7">
        <f>B8/D8</f>
        <v/>
      </c>
      <c r="G8" s="8">
        <f>B8/23354</f>
        <v/>
      </c>
    </row>
    <row r="9">
      <c r="A9" s="4" t="n">
        <v>2015</v>
      </c>
      <c r="B9" s="5" t="n">
        <v>771855</v>
      </c>
      <c r="C9" s="7">
        <f>B9/B8-1</f>
        <v/>
      </c>
      <c r="D9" s="5" t="n">
        <v>838333</v>
      </c>
      <c r="E9" s="14">
        <f>D9-B9</f>
        <v/>
      </c>
      <c r="F9" s="7">
        <f>B9/D9</f>
        <v/>
      </c>
      <c r="G9" s="8">
        <f>B9/23354</f>
        <v/>
      </c>
    </row>
    <row r="10">
      <c r="A10" s="4" t="n">
        <v>2016</v>
      </c>
      <c r="B10" s="5" t="n">
        <v>789390</v>
      </c>
      <c r="C10" s="7">
        <f>B10/B9-1</f>
        <v/>
      </c>
      <c r="D10" s="5" t="n">
        <v>904564</v>
      </c>
      <c r="E10" s="14">
        <f>D10-B10</f>
        <v/>
      </c>
      <c r="F10" s="7">
        <f>B10/D10</f>
        <v/>
      </c>
      <c r="G10" s="8">
        <f>B10/23354</f>
        <v/>
      </c>
    </row>
    <row r="11">
      <c r="A11" s="4" t="n">
        <v>2017</v>
      </c>
      <c r="B11" s="5" t="n">
        <v>895731</v>
      </c>
      <c r="C11" s="7">
        <f>B11/B10-1</f>
        <v/>
      </c>
      <c r="D11" s="5" t="n">
        <v>884034</v>
      </c>
      <c r="E11" s="14">
        <f>D11-B11</f>
        <v/>
      </c>
      <c r="F11" s="7">
        <f>B11/D11</f>
        <v/>
      </c>
      <c r="G11" s="8">
        <f>B11/23354</f>
        <v/>
      </c>
    </row>
    <row r="12">
      <c r="A12" s="4" t="n">
        <v>2018</v>
      </c>
      <c r="B12" s="5" t="n">
        <v>745644</v>
      </c>
      <c r="C12" s="7">
        <f>B12/B11-1</f>
        <v/>
      </c>
      <c r="D12" s="5" t="n">
        <v>926473</v>
      </c>
      <c r="E12" s="14">
        <f>D12-B12</f>
        <v/>
      </c>
      <c r="F12" s="7">
        <f>B12/D12</f>
        <v/>
      </c>
      <c r="G12" s="8">
        <f>B12/23354</f>
        <v/>
      </c>
    </row>
    <row r="13">
      <c r="A13" s="4" t="n">
        <v>2019</v>
      </c>
      <c r="B13" s="5" t="n">
        <v>850536</v>
      </c>
      <c r="C13" s="7">
        <f>B13/B12-1</f>
        <v/>
      </c>
      <c r="D13" s="5" t="n">
        <v>998251</v>
      </c>
      <c r="E13" s="14">
        <f>D13-B13</f>
        <v/>
      </c>
      <c r="F13" s="7">
        <f>B13/D13</f>
        <v/>
      </c>
      <c r="G13" s="8">
        <f>B13/23354</f>
        <v/>
      </c>
    </row>
    <row r="14">
      <c r="A14" s="4" t="n">
        <v>2020</v>
      </c>
      <c r="B14" s="5" t="n">
        <v>1018430</v>
      </c>
      <c r="C14" s="7">
        <f>B14/B13-1</f>
        <v/>
      </c>
      <c r="D14" s="5" t="n">
        <v>1031234</v>
      </c>
      <c r="E14" s="14">
        <f>D14-B14</f>
        <v/>
      </c>
      <c r="F14" s="7">
        <f>B14/D14</f>
        <v/>
      </c>
      <c r="G14" s="8">
        <f>B14/23354</f>
        <v/>
      </c>
    </row>
    <row r="15">
      <c r="A15" s="4" t="n">
        <v>2021</v>
      </c>
      <c r="B15" s="5" t="n">
        <v>948240</v>
      </c>
      <c r="C15" s="7">
        <f>B15/B14-1</f>
        <v/>
      </c>
      <c r="D15" s="5" t="n">
        <v>1039957</v>
      </c>
      <c r="E15" s="14">
        <f>D15-B15</f>
        <v/>
      </c>
      <c r="F15" s="7">
        <f>B15/D15</f>
        <v/>
      </c>
      <c r="G15" s="8">
        <f>B15/23354</f>
        <v/>
      </c>
    </row>
    <row r="16">
      <c r="A16" s="4" t="n">
        <v>2022</v>
      </c>
      <c r="B16" s="5" t="n">
        <v>861519</v>
      </c>
      <c r="C16" s="7">
        <f>B16/B15-1</f>
        <v/>
      </c>
      <c r="D16" s="5" t="n">
        <v>1034863</v>
      </c>
      <c r="E16" s="14">
        <f>D16-B16</f>
        <v/>
      </c>
      <c r="F16" s="7">
        <f>B16/D16</f>
        <v/>
      </c>
      <c r="G16" s="8">
        <f>B16/23354</f>
        <v/>
      </c>
    </row>
    <row r="17">
      <c r="A17" s="4" t="n">
        <v>2023</v>
      </c>
      <c r="B17" s="5" t="n">
        <v>1009164</v>
      </c>
      <c r="C17" s="7">
        <f>B17/B16-1</f>
        <v/>
      </c>
      <c r="D17" s="5" t="n">
        <v>1041801</v>
      </c>
      <c r="E17" s="14">
        <f>D17-B17</f>
        <v/>
      </c>
      <c r="F17" s="7">
        <f>B17/D17</f>
        <v/>
      </c>
      <c r="G17" s="8">
        <f>B17/23354</f>
        <v/>
      </c>
    </row>
    <row r="18">
      <c r="A18" s="4" t="n">
        <v>2024</v>
      </c>
      <c r="B18" s="5" t="n">
        <v>1565650</v>
      </c>
      <c r="C18" s="7">
        <f>B18/B17-1</f>
        <v/>
      </c>
      <c r="D18" s="5" t="n">
        <v>1048921</v>
      </c>
      <c r="E18" s="14">
        <f>D18-B18</f>
        <v/>
      </c>
      <c r="F18" s="7">
        <f>B18/D18</f>
        <v/>
      </c>
      <c r="G18" s="8">
        <f>B18/23354</f>
        <v/>
      </c>
    </row>
    <row r="19"/>
    <row r="20">
      <c r="A20" s="9" t="inlineStr">
        <is>
          <t>EXPENSE SUMMARY</t>
        </is>
      </c>
    </row>
    <row r="21">
      <c r="A21" s="10" t="inlineStr">
        <is>
          <t>14-Year Avg Expenses</t>
        </is>
      </c>
      <c r="B21" s="6">
        <f>AVERAGE(B5:B18)</f>
        <v/>
      </c>
    </row>
    <row r="22">
      <c r="A22" s="10" t="inlineStr">
        <is>
          <t>Expense CAGR (2011→2024)</t>
        </is>
      </c>
      <c r="B22" s="11">
        <f>(B18/B5)^(1/13)-1</f>
        <v/>
      </c>
    </row>
    <row r="23">
      <c r="A23" s="10" t="inlineStr">
        <is>
          <t>Avg Expense/Revenue Ratio</t>
        </is>
      </c>
      <c r="B23" s="7">
        <f>AVERAGE(F5:F18)</f>
        <v/>
      </c>
    </row>
    <row r="24">
      <c r="A24" s="10" t="inlineStr">
        <is>
          <t>Expense Std Deviation</t>
        </is>
      </c>
      <c r="B24" s="6">
        <f>STDEV(B5:B18)</f>
        <v/>
      </c>
    </row>
    <row r="25">
      <c r="A25" s="10" t="inlineStr">
        <is>
          <t>Max Single-Year Expense</t>
        </is>
      </c>
      <c r="B25" s="6">
        <f>MAX(B5:B18)</f>
        <v/>
      </c>
    </row>
    <row r="26">
      <c r="A26" s="10" t="inlineStr">
        <is>
          <t>Min Single-Year Expense</t>
        </is>
      </c>
      <c r="B26" s="6">
        <f>MIN(B5:B18)</f>
        <v/>
      </c>
    </row>
    <row r="27">
      <c r="A27" s="10" t="inlineStr">
        <is>
          <t>2024 Per-Unit Expense</t>
        </is>
      </c>
      <c r="B27" s="8">
        <f>B18/23354</f>
        <v/>
      </c>
    </row>
    <row r="28">
      <c r="A28" s="10" t="inlineStr">
        <is>
          <t>Median Expense (excl 2024)</t>
        </is>
      </c>
      <c r="B28" s="6">
        <f>MEDIAN(B5:B17)</f>
        <v/>
      </c>
    </row>
    <row r="29">
      <c r="A29" s="10" t="inlineStr">
        <is>
          <t>2024 vs Median Deviation</t>
        </is>
      </c>
      <c r="B29" s="7">
        <f>B18/MEDIAN(B5:B17)-1</f>
        <v/>
      </c>
    </row>
    <row r="30"/>
    <row r="31"/>
    <row r="32">
      <c r="A32" s="9" t="inlineStr">
        <is>
          <t>BUDGET CATEGORY BREAKDOWN (Confirmed from KSA Presentations)</t>
        </is>
      </c>
    </row>
    <row r="33">
      <c r="A33" s="3" t="inlineStr">
        <is>
          <t>Category</t>
        </is>
      </c>
      <c r="B33" s="3" t="inlineStr">
        <is>
          <t>2009 Amount</t>
        </is>
      </c>
      <c r="C33" s="3" t="inlineStr">
        <is>
          <t>2009 %</t>
        </is>
      </c>
      <c r="D33" s="3" t="inlineStr">
        <is>
          <t>2012 Amount</t>
        </is>
      </c>
      <c r="E33" s="3" t="inlineStr">
        <is>
          <t>2012 %</t>
        </is>
      </c>
      <c r="F33" s="3" t="inlineStr">
        <is>
          <t>Growth
(2009→2012)</t>
        </is>
      </c>
      <c r="G33" s="3" t="inlineStr">
        <is>
          <t>Est. 2024
(at CAGR)</t>
        </is>
      </c>
      <c r="H33" s="3" t="inlineStr">
        <is>
          <t>Est. 2024 %</t>
        </is>
      </c>
      <c r="I33" s="3" t="inlineStr">
        <is>
          <t>Description</t>
        </is>
      </c>
    </row>
    <row r="34">
      <c r="A34" s="10" t="inlineStr">
        <is>
          <t>Parks Ops &amp; Maintenance</t>
        </is>
      </c>
      <c r="B34" s="5" t="n">
        <v>336526</v>
      </c>
      <c r="C34" s="7">
        <f>B34/B39</f>
        <v/>
      </c>
      <c r="D34" s="5" t="n">
        <v>354063</v>
      </c>
      <c r="E34" s="7">
        <f>D34/D39</f>
        <v/>
      </c>
      <c r="F34" s="7">
        <f>(D34/B34)^(1/3)-1</f>
        <v/>
      </c>
      <c r="G34" s="6">
        <f>D34*(1+F34)^12</f>
        <v/>
      </c>
      <c r="H34" s="7">
        <f>G34/G39</f>
        <v/>
      </c>
      <c r="I34" s="13" t="inlineStr">
        <is>
          <t>Landscaping, mowing, repairs, supplies, utilities for 5 parks (356.6 acres)</t>
        </is>
      </c>
    </row>
    <row r="35">
      <c r="A35" s="10" t="inlineStr">
        <is>
          <t>General &amp; Administrative</t>
        </is>
      </c>
      <c r="B35" s="5" t="n">
        <v>153319</v>
      </c>
      <c r="C35" s="7">
        <f>B35/B39</f>
        <v/>
      </c>
      <c r="D35" s="5" t="n">
        <v>182783</v>
      </c>
      <c r="E35" s="7">
        <f>D35/D39</f>
        <v/>
      </c>
      <c r="F35" s="7">
        <f>(D35/B35)^(1/3)-1</f>
        <v/>
      </c>
      <c r="G35" s="6">
        <f>D35*(1+F35)^12</f>
        <v/>
      </c>
      <c r="H35" s="7">
        <f>G35/G39</f>
        <v/>
      </c>
      <c r="I35" s="13" t="inlineStr">
        <is>
          <t>KAM management contract, office expenses, umbrella insurance, legal fees, accounting</t>
        </is>
      </c>
    </row>
    <row r="36">
      <c r="A36" s="10" t="inlineStr">
        <is>
          <t>Entryway Maintenance</t>
        </is>
      </c>
      <c r="B36" s="5" t="n">
        <v>143200</v>
      </c>
      <c r="C36" s="7">
        <f>B36/B39</f>
        <v/>
      </c>
      <c r="D36" s="5" t="n">
        <v>133772</v>
      </c>
      <c r="E36" s="7">
        <f>D36/D39</f>
        <v/>
      </c>
      <c r="F36" s="7">
        <f>(D36/B36)^(1/3)-1</f>
        <v/>
      </c>
      <c r="G36" s="6">
        <f>D36*(1+F36)^12</f>
        <v/>
      </c>
      <c r="H36" s="7">
        <f>G36/G39</f>
        <v/>
      </c>
      <c r="I36" s="13" t="inlineStr">
        <is>
          <t>Kingwood Dr, North Park Dr, West Lake Houston Pkwy medians + signage</t>
        </is>
      </c>
    </row>
    <row r="37">
      <c r="A37" s="10" t="inlineStr">
        <is>
          <t>Park Improvements (Capital)</t>
        </is>
      </c>
      <c r="B37" s="5" t="n">
        <v>91100</v>
      </c>
      <c r="C37" s="7">
        <f>B37/B39</f>
        <v/>
      </c>
      <c r="D37" s="5" t="n">
        <v>118385</v>
      </c>
      <c r="E37" s="7">
        <f>D37/D39</f>
        <v/>
      </c>
      <c r="F37" s="7">
        <f>(D37/B37)^(1/3)-1</f>
        <v/>
      </c>
      <c r="G37" s="6">
        <f>D37*(1+F37)^12</f>
        <v/>
      </c>
      <c r="H37" s="7">
        <f>G37/G39</f>
        <v/>
      </c>
      <c r="I37" s="13" t="inlineStr">
        <is>
          <t>New infrastructure, tee pads, benches, trail improvements, facility upgrades</t>
        </is>
      </c>
    </row>
    <row r="38">
      <c r="A38" s="10" t="inlineStr">
        <is>
          <t>TxDOT Matching / Public Safety</t>
        </is>
      </c>
      <c r="B38" s="5" t="n">
        <v>67000</v>
      </c>
      <c r="C38" s="7">
        <f>B38/B39</f>
        <v/>
      </c>
      <c r="D38" s="5" t="n">
        <v>17000</v>
      </c>
      <c r="E38" s="7">
        <f>D38/D39</f>
        <v/>
      </c>
      <c r="F38" s="7">
        <f>(D38/B38)^(1/3)-1</f>
        <v/>
      </c>
      <c r="G38" s="6">
        <f>D38*(1+F38)^12</f>
        <v/>
      </c>
      <c r="H38" s="7">
        <f>G38/G39</f>
        <v/>
      </c>
      <c r="I38" s="13" t="inlineStr">
        <is>
          <t>2009: $50K TxDOT match + $17K safety. 2012: $17K safety only</t>
        </is>
      </c>
    </row>
    <row r="39">
      <c r="A39" s="10" t="inlineStr">
        <is>
          <t>TOTAL</t>
        </is>
      </c>
      <c r="B39" s="6">
        <f>SUM(B34:B38)</f>
        <v/>
      </c>
      <c r="C39" s="7">
        <f>1</f>
        <v/>
      </c>
      <c r="D39" s="6">
        <f>SUM(D34:D38)</f>
        <v/>
      </c>
      <c r="E39" s="7">
        <f>1</f>
        <v/>
      </c>
      <c r="G39" s="6">
        <f>SUM(G34:G38)</f>
        <v/>
      </c>
    </row>
    <row r="40"/>
    <row r="41">
      <c r="A41" s="9" t="inlineStr">
        <is>
          <t>2024 EXPENSE ANOMALY ANALYSIS</t>
        </is>
      </c>
    </row>
    <row r="42">
      <c r="A42" s="10" t="inlineStr">
        <is>
          <t>Actual 2024 Expenses (from 990)</t>
        </is>
      </c>
      <c r="B42" s="15" t="n">
        <v>1565650</v>
      </c>
    </row>
    <row r="43">
      <c r="A43" s="10" t="inlineStr">
        <is>
          <t>Estimated 2024 (from CAGR model)</t>
        </is>
      </c>
      <c r="B43" s="6">
        <f>G39</f>
        <v/>
      </c>
    </row>
    <row r="44">
      <c r="A44" s="10" t="inlineStr">
        <is>
          <t>Unexplained Excess</t>
        </is>
      </c>
      <c r="B44" s="14">
        <f>B42-B43</f>
        <v/>
      </c>
    </row>
    <row r="45">
      <c r="A45" s="10" t="inlineStr">
        <is>
          <t>Excess as % of Normal Budget</t>
        </is>
      </c>
      <c r="B45" s="7">
        <f>B44/B43</f>
        <v/>
      </c>
    </row>
    <row r="46">
      <c r="A46" s="10" t="inlineStr">
        <is>
          <t>Median Expense (2011-2023)</t>
        </is>
      </c>
      <c r="B46" s="6">
        <f>MEDIAN(B5:B17)</f>
        <v/>
      </c>
    </row>
    <row r="47">
      <c r="A47" s="10" t="inlineStr">
        <is>
          <t>2024 vs Median</t>
        </is>
      </c>
      <c r="B47" s="7">
        <f>B42/B46-1</f>
        <v/>
      </c>
    </row>
    <row r="48"/>
    <row r="49">
      <c r="A49" s="9" t="inlineStr">
        <is>
          <t>PROBABLE CAUSES OF 2024 EXPENSE SPIKE</t>
        </is>
      </c>
    </row>
    <row r="50">
      <c r="A50" s="3" t="inlineStr">
        <is>
          <t>Possible Cause</t>
        </is>
      </c>
      <c r="B50" s="3" t="inlineStr">
        <is>
          <t>Likelihood</t>
        </is>
      </c>
      <c r="C50" s="3" t="inlineStr">
        <is>
          <t>Est. Range</t>
        </is>
      </c>
      <c r="D50" s="3" t="inlineStr">
        <is>
          <t>Rationale</t>
        </is>
      </c>
    </row>
    <row r="51">
      <c r="A51" s="10" t="inlineStr">
        <is>
          <t>Mills Branch Lawsuit Legal Fees</t>
        </is>
      </c>
      <c r="B51" s="12" t="inlineStr">
        <is>
          <t>High</t>
        </is>
      </c>
      <c r="C51" s="12" t="inlineStr">
        <is>
          <t>$50K-$200K</t>
        </is>
      </c>
      <c r="D51" s="13" t="inlineStr">
        <is>
          <t>Attorney fees, arbitration costs, potential settlement reserve</t>
        </is>
      </c>
    </row>
    <row r="52">
      <c r="A52" s="10" t="inlineStr">
        <is>
          <t>Deferred Capital Maintenance</t>
        </is>
      </c>
      <c r="B52" s="12" t="inlineStr">
        <is>
          <t>High</t>
        </is>
      </c>
      <c r="C52" s="12" t="inlineStr">
        <is>
          <t>$100K-$300K</t>
        </is>
      </c>
      <c r="D52" s="13" t="inlineStr">
        <is>
          <t>5 parks are 30-50 years old; major systems may need replacement</t>
        </is>
      </c>
    </row>
    <row r="53">
      <c r="A53" s="10" t="inlineStr">
        <is>
          <t>Insurance Premium Increase</t>
        </is>
      </c>
      <c r="B53" s="12" t="inlineStr">
        <is>
          <t>Medium</t>
        </is>
      </c>
      <c r="C53" s="12" t="inlineStr">
        <is>
          <t>$30K-$80K</t>
        </is>
      </c>
      <c r="D53" s="13" t="inlineStr">
        <is>
          <t>Post-Harvey, post-lawsuit premium adjustments</t>
        </is>
      </c>
    </row>
    <row r="54">
      <c r="A54" s="10" t="inlineStr">
        <is>
          <t>One-Time Park Project</t>
        </is>
      </c>
      <c r="B54" s="12" t="inlineStr">
        <is>
          <t>Medium</t>
        </is>
      </c>
      <c r="C54" s="12" t="inlineStr">
        <is>
          <t>$100K-$400K</t>
        </is>
      </c>
      <c r="D54" s="13" t="inlineStr">
        <is>
          <t>Major renovation, new facility, flood mitigation</t>
        </is>
      </c>
    </row>
    <row r="55">
      <c r="A55" s="10" t="inlineStr">
        <is>
          <t>Entryway/Landscaping Contract Rebid</t>
        </is>
      </c>
      <c r="B55" s="12" t="inlineStr">
        <is>
          <t>Low</t>
        </is>
      </c>
      <c r="C55" s="12" t="inlineStr">
        <is>
          <t>$20K-$50K</t>
        </is>
      </c>
      <c r="D55" s="13" t="inlineStr">
        <is>
          <t>New vendor at higher rates after contract renewal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1FA2"/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9" customWidth="1" min="4" max="4"/>
    <col width="15" customWidth="1" min="5" max="5"/>
    <col width="21" customWidth="1" min="6" max="6"/>
    <col width="25" customWidth="1" min="7" max="7"/>
    <col width="21" customWidth="1" min="8" max="8"/>
    <col width="24" customWidth="1" min="9" max="9"/>
    <col width="15" customWidth="1" min="10" max="10"/>
    <col width="17" customWidth="1" min="11" max="11"/>
    <col width="17" customWidth="1" min="12" max="12"/>
    <col width="25" customWidth="1" min="13" max="13"/>
    <col width="25" customWidth="1" min="14" max="14"/>
  </cols>
  <sheetData>
    <row r="1">
      <c r="A1" s="1" t="inlineStr">
        <is>
          <t>10-YEAR DISCOUNTED CASH FLOW MODEL</t>
        </is>
      </c>
    </row>
    <row r="2">
      <c r="A2" s="2" t="inlineStr">
        <is>
          <t>Change yellow cells to test scenarios. All green cells are formulas.</t>
        </is>
      </c>
    </row>
    <row r="3"/>
    <row r="4">
      <c r="A4" s="9" t="inlineStr">
        <is>
          <t>MODEL INPUTS</t>
        </is>
      </c>
    </row>
    <row r="5">
      <c r="A5" s="10" t="inlineStr">
        <is>
          <t>Equivalent Units (2008 census)</t>
        </is>
      </c>
      <c r="B5" s="16" t="n">
        <v>23354</v>
      </c>
      <c r="C5" s="13" t="inlineStr">
        <is>
          <t>1 unit = 1 home. 0.5 = 1 apt. Commercial by sqft.</t>
        </is>
      </c>
      <c r="D5" s="17" t="n"/>
      <c r="E5" s="17" t="n"/>
      <c r="F5" s="18" t="n"/>
    </row>
    <row r="6">
      <c r="A6" s="10" t="inlineStr">
        <is>
          <t>2024 Assessment Revenue (actual)</t>
        </is>
      </c>
      <c r="B6" s="15" t="n">
        <v>958464</v>
      </c>
      <c r="C6" s="13" t="inlineStr">
        <is>
          <t>From 2024 Form 990 — Program Service Revenue</t>
        </is>
      </c>
      <c r="D6" s="17" t="n"/>
      <c r="E6" s="17" t="n"/>
      <c r="F6" s="18" t="n"/>
    </row>
    <row r="7">
      <c r="A7" s="10" t="inlineStr">
        <is>
          <t>2024 Investment Income (actual)</t>
        </is>
      </c>
      <c r="B7" s="15" t="n">
        <v>90457</v>
      </c>
      <c r="C7" s="13" t="inlineStr">
        <is>
          <t>From 2024 Form 990</t>
        </is>
      </c>
      <c r="D7" s="17" t="n"/>
      <c r="E7" s="17" t="n"/>
      <c r="F7" s="18" t="n"/>
    </row>
    <row r="8">
      <c r="A8" s="10" t="inlineStr">
        <is>
          <t>2024 Total Revenue (actual)</t>
        </is>
      </c>
      <c r="B8" s="6">
        <f>B6+B7</f>
        <v/>
      </c>
      <c r="C8" s="13">
        <f>B6+B7 (formula)</f>
        <v/>
      </c>
      <c r="D8" s="17" t="n"/>
      <c r="E8" s="17" t="n"/>
      <c r="F8" s="18" t="n"/>
    </row>
    <row r="9">
      <c r="A9" s="10" t="inlineStr">
        <is>
          <t>2024 Total Expenses (actual)</t>
        </is>
      </c>
      <c r="B9" s="15" t="n">
        <v>1565650</v>
      </c>
      <c r="C9" s="13" t="inlineStr">
        <is>
          <t>Anomalous — 55% above prior year</t>
        </is>
      </c>
      <c r="D9" s="17" t="n"/>
      <c r="E9" s="17" t="n"/>
      <c r="F9" s="18" t="n"/>
    </row>
    <row r="10">
      <c r="A10" s="10" t="inlineStr">
        <is>
          <t>Normalized Expense Base</t>
        </is>
      </c>
      <c r="B10" s="15" t="n">
        <v>1020000</v>
      </c>
      <c r="C10" s="13" t="inlineStr">
        <is>
          <t>Median of 2019-2023 expenses, adjusted for inflation</t>
        </is>
      </c>
      <c r="D10" s="17" t="n"/>
      <c r="E10" s="17" t="n"/>
      <c r="F10" s="18" t="n"/>
    </row>
    <row r="11">
      <c r="A11" s="10" t="inlineStr">
        <is>
          <t>Starting Cash Reserves</t>
        </is>
      </c>
      <c r="B11" s="15" t="n">
        <v>2092894</v>
      </c>
      <c r="C11" s="13" t="inlineStr">
        <is>
          <t>From 2024 balance sheet</t>
        </is>
      </c>
      <c r="D11" s="17" t="n"/>
      <c r="E11" s="17" t="n"/>
      <c r="F11" s="18" t="n"/>
    </row>
    <row r="12">
      <c r="A12" s="10" t="inlineStr">
        <is>
          <t>Assessment Growth Rate</t>
        </is>
      </c>
      <c r="B12" s="19" t="n">
        <v>0.015</v>
      </c>
      <c r="C12" s="13" t="inlineStr">
        <is>
          <t>Historical CAGR ~1.4% (2011-2024); conservative</t>
        </is>
      </c>
      <c r="D12" s="17" t="n"/>
      <c r="E12" s="17" t="n"/>
      <c r="F12" s="18" t="n"/>
    </row>
    <row r="13">
      <c r="A13" s="10" t="inlineStr">
        <is>
          <t>Expense Growth Rate</t>
        </is>
      </c>
      <c r="B13" s="19" t="n">
        <v>0.035</v>
      </c>
      <c r="C13" s="13" t="inlineStr">
        <is>
          <t>Inflation + aging infrastructure. Historical CAGR 5.9% but volatile</t>
        </is>
      </c>
      <c r="D13" s="17" t="n"/>
      <c r="E13" s="17" t="n"/>
      <c r="F13" s="18" t="n"/>
    </row>
    <row r="14">
      <c r="A14" s="10" t="inlineStr">
        <is>
          <t>Investment Yield on Reserves</t>
        </is>
      </c>
      <c r="B14" s="19" t="n">
        <v>0.04</v>
      </c>
      <c r="C14" s="13" t="inlineStr">
        <is>
          <t>2024 actual: $90K / $2.1M ≈ 4.3%</t>
        </is>
      </c>
      <c r="D14" s="17" t="n"/>
      <c r="E14" s="17" t="n"/>
      <c r="F14" s="18" t="n"/>
    </row>
    <row r="15">
      <c r="A15" s="10" t="inlineStr">
        <is>
          <t>Discount Rate</t>
        </is>
      </c>
      <c r="B15" s="19" t="n">
        <v>0.05</v>
      </c>
      <c r="C15" s="13" t="inlineStr">
        <is>
          <t>Opportunity cost of capital for civic organization</t>
        </is>
      </c>
      <c r="D15" s="17" t="n"/>
      <c r="E15" s="17" t="n"/>
      <c r="F15" s="18" t="n"/>
    </row>
    <row r="16">
      <c r="A16" s="10" t="inlineStr">
        <is>
          <t>Catastrophe Probability (annual)</t>
        </is>
      </c>
      <c r="B16" s="19" t="n">
        <v>0.067</v>
      </c>
      <c r="C16" s="13" t="inlineStr">
        <is>
          <t>1-in-15 year event (Harvey was 2017, next due ~2032)</t>
        </is>
      </c>
      <c r="D16" s="17" t="n"/>
      <c r="E16" s="17" t="n"/>
      <c r="F16" s="18" t="n"/>
    </row>
    <row r="17">
      <c r="A17" s="10" t="inlineStr">
        <is>
          <t>Catastrophe Cost</t>
        </is>
      </c>
      <c r="B17" s="15" t="n">
        <v>500000</v>
      </c>
      <c r="C17" s="13" t="inlineStr">
        <is>
          <t>Harvey recovery: 2.5 years, est. $500K+ total</t>
        </is>
      </c>
      <c r="D17" s="17" t="n"/>
      <c r="E17" s="17" t="n"/>
      <c r="F17" s="18" t="n"/>
    </row>
    <row r="18">
      <c r="A18" s="10" t="inlineStr">
        <is>
          <t>Lawsuit Settlement</t>
        </is>
      </c>
      <c r="B18" s="15" t="n">
        <v>500000</v>
      </c>
      <c r="C18" s="13" t="inlineStr">
        <is>
          <t>Mills Branch exposure: demands up to $250K, legal fees additional</t>
        </is>
      </c>
      <c r="D18" s="17" t="n"/>
      <c r="E18" s="17" t="n"/>
      <c r="F18" s="18" t="n"/>
    </row>
    <row r="19">
      <c r="A19" s="10" t="inlineStr">
        <is>
          <t>Lawsuit Year</t>
        </is>
      </c>
      <c r="B19" s="16" t="n">
        <v>2026</v>
      </c>
      <c r="C19" s="13" t="inlineStr">
        <is>
          <t>Expected resolution</t>
        </is>
      </c>
      <c r="D19" s="17" t="n"/>
      <c r="E19" s="17" t="n"/>
      <c r="F19" s="18" t="n"/>
    </row>
    <row r="20">
      <c r="A20" s="10" t="inlineStr">
        <is>
          <t>Lease Income (est, bundled)</t>
        </is>
      </c>
      <c r="B20" s="15" t="n">
        <v>50000</v>
      </c>
      <c r="C20" s="13" t="inlineStr">
        <is>
          <t>Estimated — 6 field leases, likely at-cost or nominal</t>
        </is>
      </c>
      <c r="D20" s="17" t="n"/>
      <c r="E20" s="17" t="n"/>
      <c r="F20" s="18" t="n"/>
    </row>
    <row r="21"/>
    <row r="22">
      <c r="A22" s="9" t="inlineStr">
        <is>
          <t>10-YEAR CASH FLOW PROJECTION</t>
        </is>
      </c>
    </row>
    <row r="23">
      <c r="A23" s="3" t="inlineStr">
        <is>
          <t>Year</t>
        </is>
      </c>
      <c r="B23" s="3" t="inlineStr">
        <is>
          <t>Assessment
Revenue</t>
        </is>
      </c>
      <c r="C23" s="3" t="inlineStr">
        <is>
          <t>Est. Lease
Income</t>
        </is>
      </c>
      <c r="D23" s="3" t="inlineStr">
        <is>
          <t>Investment
Income</t>
        </is>
      </c>
      <c r="E23" s="3" t="inlineStr">
        <is>
          <t>Total
Revenue</t>
        </is>
      </c>
      <c r="F23" s="3" t="inlineStr">
        <is>
          <t>Operating
Expenses</t>
        </is>
      </c>
      <c r="G23" s="3" t="inlineStr">
        <is>
          <t>Net Operating
Cash Flow</t>
        </is>
      </c>
      <c r="H23" s="3" t="inlineStr">
        <is>
          <t>Catastrophe
Reserve</t>
        </is>
      </c>
      <c r="I23" s="3" t="inlineStr">
        <is>
          <t>Lawsuit
Impact</t>
        </is>
      </c>
      <c r="J23" s="3" t="inlineStr">
        <is>
          <t>Net Cash
Flow</t>
        </is>
      </c>
      <c r="K23" s="3" t="inlineStr">
        <is>
          <t>Discount
Factor</t>
        </is>
      </c>
      <c r="L23" s="3" t="inlineStr">
        <is>
          <t>PV of
Cash Flow</t>
        </is>
      </c>
      <c r="M23" s="3" t="inlineStr">
        <is>
          <t>Cumulative
Cash Reserve</t>
        </is>
      </c>
      <c r="N23" s="3" t="inlineStr">
        <is>
          <t>Months of
Reserves</t>
        </is>
      </c>
    </row>
    <row r="24">
      <c r="A24" s="4" t="n">
        <v>2024</v>
      </c>
      <c r="B24" s="5" t="n">
        <v>958464</v>
      </c>
      <c r="C24" s="6">
        <f>$B$20</f>
        <v/>
      </c>
      <c r="D24" s="5" t="n">
        <v>90457</v>
      </c>
      <c r="E24" s="6">
        <f>B24+C24+D24</f>
        <v/>
      </c>
      <c r="F24" s="5" t="n">
        <v>1565650</v>
      </c>
      <c r="G24" s="14">
        <f>E24-F24</f>
        <v/>
      </c>
      <c r="H24" s="5" t="n">
        <v>0</v>
      </c>
      <c r="I24" s="5" t="n">
        <v>0</v>
      </c>
      <c r="J24" s="14">
        <f>G24-H24-I24</f>
        <v/>
      </c>
      <c r="K24" s="20" t="n">
        <v>1</v>
      </c>
      <c r="L24" s="14">
        <f>J24*K24</f>
        <v/>
      </c>
      <c r="M24" s="5" t="n">
        <v>2092894</v>
      </c>
      <c r="N24" s="21">
        <f>IF(F24=0,0,M24/F24*12)</f>
        <v/>
      </c>
    </row>
    <row r="25">
      <c r="A25" s="4" t="n">
        <v>2025</v>
      </c>
      <c r="B25" s="6">
        <f>B24*(1+$B$12)</f>
        <v/>
      </c>
      <c r="C25" s="6">
        <f>$B$20</f>
        <v/>
      </c>
      <c r="D25" s="6">
        <f>MAX(M24,0)*$B$14</f>
        <v/>
      </c>
      <c r="E25" s="6">
        <f>B25+C25+D25</f>
        <v/>
      </c>
      <c r="F25" s="6">
        <f>$B$10*(1+$B$13)^1</f>
        <v/>
      </c>
      <c r="G25" s="14">
        <f>E25-F25</f>
        <v/>
      </c>
      <c r="H25" s="6">
        <f>$B$16*$B$17</f>
        <v/>
      </c>
      <c r="I25" s="6">
        <f>IF(A25=$B$19,$B$18,0)</f>
        <v/>
      </c>
      <c r="J25" s="14">
        <f>G25-H25-I25</f>
        <v/>
      </c>
      <c r="K25" s="22">
        <f>1/(1+$B$15)^1</f>
        <v/>
      </c>
      <c r="L25" s="14">
        <f>J25*K25</f>
        <v/>
      </c>
      <c r="M25" s="14">
        <f>MAX(M24+J25,0)</f>
        <v/>
      </c>
      <c r="N25" s="21">
        <f>IF(F25=0,0,M25/F25*12)</f>
        <v/>
      </c>
    </row>
    <row r="26">
      <c r="A26" s="4" t="n">
        <v>2026</v>
      </c>
      <c r="B26" s="6">
        <f>B25*(1+$B$12)</f>
        <v/>
      </c>
      <c r="C26" s="6">
        <f>$B$20</f>
        <v/>
      </c>
      <c r="D26" s="6">
        <f>MAX(M25,0)*$B$14</f>
        <v/>
      </c>
      <c r="E26" s="6">
        <f>B26+C26+D26</f>
        <v/>
      </c>
      <c r="F26" s="6">
        <f>$B$10*(1+$B$13)^2</f>
        <v/>
      </c>
      <c r="G26" s="14">
        <f>E26-F26</f>
        <v/>
      </c>
      <c r="H26" s="6">
        <f>$B$16*$B$17</f>
        <v/>
      </c>
      <c r="I26" s="6">
        <f>IF(A26=$B$19,$B$18,0)</f>
        <v/>
      </c>
      <c r="J26" s="14">
        <f>G26-H26-I26</f>
        <v/>
      </c>
      <c r="K26" s="22">
        <f>1/(1+$B$15)^2</f>
        <v/>
      </c>
      <c r="L26" s="14">
        <f>J26*K26</f>
        <v/>
      </c>
      <c r="M26" s="14">
        <f>MAX(M25+J26,0)</f>
        <v/>
      </c>
      <c r="N26" s="21">
        <f>IF(F26=0,0,M26/F26*12)</f>
        <v/>
      </c>
    </row>
    <row r="27">
      <c r="A27" s="4" t="n">
        <v>2027</v>
      </c>
      <c r="B27" s="6">
        <f>B26*(1+$B$12)</f>
        <v/>
      </c>
      <c r="C27" s="6">
        <f>$B$20</f>
        <v/>
      </c>
      <c r="D27" s="6">
        <f>MAX(M26,0)*$B$14</f>
        <v/>
      </c>
      <c r="E27" s="6">
        <f>B27+C27+D27</f>
        <v/>
      </c>
      <c r="F27" s="6">
        <f>$B$10*(1+$B$13)^3</f>
        <v/>
      </c>
      <c r="G27" s="14">
        <f>E27-F27</f>
        <v/>
      </c>
      <c r="H27" s="6">
        <f>$B$16*$B$17</f>
        <v/>
      </c>
      <c r="I27" s="6">
        <f>IF(A27=$B$19,$B$18,0)</f>
        <v/>
      </c>
      <c r="J27" s="14">
        <f>G27-H27-I27</f>
        <v/>
      </c>
      <c r="K27" s="22">
        <f>1/(1+$B$15)^3</f>
        <v/>
      </c>
      <c r="L27" s="14">
        <f>J27*K27</f>
        <v/>
      </c>
      <c r="M27" s="14">
        <f>MAX(M26+J27,0)</f>
        <v/>
      </c>
      <c r="N27" s="21">
        <f>IF(F27=0,0,M27/F27*12)</f>
        <v/>
      </c>
    </row>
    <row r="28">
      <c r="A28" s="4" t="n">
        <v>2028</v>
      </c>
      <c r="B28" s="6">
        <f>B27*(1+$B$12)</f>
        <v/>
      </c>
      <c r="C28" s="6">
        <f>$B$20</f>
        <v/>
      </c>
      <c r="D28" s="6">
        <f>MAX(M27,0)*$B$14</f>
        <v/>
      </c>
      <c r="E28" s="6">
        <f>B28+C28+D28</f>
        <v/>
      </c>
      <c r="F28" s="6">
        <f>$B$10*(1+$B$13)^4</f>
        <v/>
      </c>
      <c r="G28" s="14">
        <f>E28-F28</f>
        <v/>
      </c>
      <c r="H28" s="6">
        <f>$B$16*$B$17</f>
        <v/>
      </c>
      <c r="I28" s="6">
        <f>IF(A28=$B$19,$B$18,0)</f>
        <v/>
      </c>
      <c r="J28" s="14">
        <f>G28-H28-I28</f>
        <v/>
      </c>
      <c r="K28" s="22">
        <f>1/(1+$B$15)^4</f>
        <v/>
      </c>
      <c r="L28" s="14">
        <f>J28*K28</f>
        <v/>
      </c>
      <c r="M28" s="14">
        <f>MAX(M27+J28,0)</f>
        <v/>
      </c>
      <c r="N28" s="21">
        <f>IF(F28=0,0,M28/F28*12)</f>
        <v/>
      </c>
    </row>
    <row r="29">
      <c r="A29" s="4" t="n">
        <v>2029</v>
      </c>
      <c r="B29" s="6">
        <f>B28*(1+$B$12)</f>
        <v/>
      </c>
      <c r="C29" s="6">
        <f>$B$20</f>
        <v/>
      </c>
      <c r="D29" s="6">
        <f>MAX(M28,0)*$B$14</f>
        <v/>
      </c>
      <c r="E29" s="6">
        <f>B29+C29+D29</f>
        <v/>
      </c>
      <c r="F29" s="6">
        <f>$B$10*(1+$B$13)^5</f>
        <v/>
      </c>
      <c r="G29" s="14">
        <f>E29-F29</f>
        <v/>
      </c>
      <c r="H29" s="6">
        <f>$B$16*$B$17</f>
        <v/>
      </c>
      <c r="I29" s="6">
        <f>IF(A29=$B$19,$B$18,0)</f>
        <v/>
      </c>
      <c r="J29" s="14">
        <f>G29-H29-I29</f>
        <v/>
      </c>
      <c r="K29" s="22">
        <f>1/(1+$B$15)^5</f>
        <v/>
      </c>
      <c r="L29" s="14">
        <f>J29*K29</f>
        <v/>
      </c>
      <c r="M29" s="14">
        <f>MAX(M28+J29,0)</f>
        <v/>
      </c>
      <c r="N29" s="21">
        <f>IF(F29=0,0,M29/F29*12)</f>
        <v/>
      </c>
    </row>
    <row r="30">
      <c r="A30" s="4" t="n">
        <v>2030</v>
      </c>
      <c r="B30" s="6">
        <f>B29*(1+$B$12)</f>
        <v/>
      </c>
      <c r="C30" s="6">
        <f>$B$20</f>
        <v/>
      </c>
      <c r="D30" s="6">
        <f>MAX(M29,0)*$B$14</f>
        <v/>
      </c>
      <c r="E30" s="6">
        <f>B30+C30+D30</f>
        <v/>
      </c>
      <c r="F30" s="6">
        <f>$B$10*(1+$B$13)^6</f>
        <v/>
      </c>
      <c r="G30" s="14">
        <f>E30-F30</f>
        <v/>
      </c>
      <c r="H30" s="6">
        <f>$B$16*$B$17</f>
        <v/>
      </c>
      <c r="I30" s="6">
        <f>IF(A30=$B$19,$B$18,0)</f>
        <v/>
      </c>
      <c r="J30" s="14">
        <f>G30-H30-I30</f>
        <v/>
      </c>
      <c r="K30" s="22">
        <f>1/(1+$B$15)^6</f>
        <v/>
      </c>
      <c r="L30" s="14">
        <f>J30*K30</f>
        <v/>
      </c>
      <c r="M30" s="14">
        <f>MAX(M29+J30,0)</f>
        <v/>
      </c>
      <c r="N30" s="21">
        <f>IF(F30=0,0,M30/F30*12)</f>
        <v/>
      </c>
    </row>
    <row r="31">
      <c r="A31" s="4" t="n">
        <v>2031</v>
      </c>
      <c r="B31" s="6">
        <f>B30*(1+$B$12)</f>
        <v/>
      </c>
      <c r="C31" s="6">
        <f>$B$20</f>
        <v/>
      </c>
      <c r="D31" s="6">
        <f>MAX(M30,0)*$B$14</f>
        <v/>
      </c>
      <c r="E31" s="6">
        <f>B31+C31+D31</f>
        <v/>
      </c>
      <c r="F31" s="6">
        <f>$B$10*(1+$B$13)^7</f>
        <v/>
      </c>
      <c r="G31" s="14">
        <f>E31-F31</f>
        <v/>
      </c>
      <c r="H31" s="6">
        <f>$B$16*$B$17</f>
        <v/>
      </c>
      <c r="I31" s="6">
        <f>IF(A31=$B$19,$B$18,0)</f>
        <v/>
      </c>
      <c r="J31" s="14">
        <f>G31-H31-I31</f>
        <v/>
      </c>
      <c r="K31" s="22">
        <f>1/(1+$B$15)^7</f>
        <v/>
      </c>
      <c r="L31" s="14">
        <f>J31*K31</f>
        <v/>
      </c>
      <c r="M31" s="14">
        <f>MAX(M30+J31,0)</f>
        <v/>
      </c>
      <c r="N31" s="21">
        <f>IF(F31=0,0,M31/F31*12)</f>
        <v/>
      </c>
    </row>
    <row r="32">
      <c r="A32" s="4" t="n">
        <v>2032</v>
      </c>
      <c r="B32" s="6">
        <f>B31*(1+$B$12)</f>
        <v/>
      </c>
      <c r="C32" s="6">
        <f>$B$20</f>
        <v/>
      </c>
      <c r="D32" s="6">
        <f>MAX(M31,0)*$B$14</f>
        <v/>
      </c>
      <c r="E32" s="6">
        <f>B32+C32+D32</f>
        <v/>
      </c>
      <c r="F32" s="6">
        <f>$B$10*(1+$B$13)^8</f>
        <v/>
      </c>
      <c r="G32" s="14">
        <f>E32-F32</f>
        <v/>
      </c>
      <c r="H32" s="6">
        <f>$B$16*$B$17</f>
        <v/>
      </c>
      <c r="I32" s="6">
        <f>IF(A32=$B$19,$B$18,0)</f>
        <v/>
      </c>
      <c r="J32" s="14">
        <f>G32-H32-I32</f>
        <v/>
      </c>
      <c r="K32" s="22">
        <f>1/(1+$B$15)^8</f>
        <v/>
      </c>
      <c r="L32" s="14">
        <f>J32*K32</f>
        <v/>
      </c>
      <c r="M32" s="14">
        <f>MAX(M31+J32,0)</f>
        <v/>
      </c>
      <c r="N32" s="21">
        <f>IF(F32=0,0,M32/F32*12)</f>
        <v/>
      </c>
    </row>
    <row r="33">
      <c r="A33" s="4" t="n">
        <v>2033</v>
      </c>
      <c r="B33" s="6">
        <f>B32*(1+$B$12)</f>
        <v/>
      </c>
      <c r="C33" s="6">
        <f>$B$20</f>
        <v/>
      </c>
      <c r="D33" s="6">
        <f>MAX(M32,0)*$B$14</f>
        <v/>
      </c>
      <c r="E33" s="6">
        <f>B33+C33+D33</f>
        <v/>
      </c>
      <c r="F33" s="6">
        <f>$B$10*(1+$B$13)^9</f>
        <v/>
      </c>
      <c r="G33" s="14">
        <f>E33-F33</f>
        <v/>
      </c>
      <c r="H33" s="6">
        <f>$B$16*$B$17</f>
        <v/>
      </c>
      <c r="I33" s="6">
        <f>IF(A33=$B$19,$B$18,0)</f>
        <v/>
      </c>
      <c r="J33" s="14">
        <f>G33-H33-I33</f>
        <v/>
      </c>
      <c r="K33" s="22">
        <f>1/(1+$B$15)^9</f>
        <v/>
      </c>
      <c r="L33" s="14">
        <f>J33*K33</f>
        <v/>
      </c>
      <c r="M33" s="14">
        <f>MAX(M32+J33,0)</f>
        <v/>
      </c>
      <c r="N33" s="21">
        <f>IF(F33=0,0,M33/F33*12)</f>
        <v/>
      </c>
    </row>
    <row r="34">
      <c r="A34" s="4" t="n">
        <v>2034</v>
      </c>
      <c r="B34" s="6">
        <f>B33*(1+$B$12)</f>
        <v/>
      </c>
      <c r="C34" s="6">
        <f>$B$20</f>
        <v/>
      </c>
      <c r="D34" s="6">
        <f>MAX(M33,0)*$B$14</f>
        <v/>
      </c>
      <c r="E34" s="6">
        <f>B34+C34+D34</f>
        <v/>
      </c>
      <c r="F34" s="6">
        <f>$B$10*(1+$B$13)^10</f>
        <v/>
      </c>
      <c r="G34" s="14">
        <f>E34-F34</f>
        <v/>
      </c>
      <c r="H34" s="6">
        <f>$B$16*$B$17</f>
        <v/>
      </c>
      <c r="I34" s="6">
        <f>IF(A34=$B$19,$B$18,0)</f>
        <v/>
      </c>
      <c r="J34" s="14">
        <f>G34-H34-I34</f>
        <v/>
      </c>
      <c r="K34" s="22">
        <f>1/(1+$B$15)^10</f>
        <v/>
      </c>
      <c r="L34" s="14">
        <f>J34*K34</f>
        <v/>
      </c>
      <c r="M34" s="14">
        <f>MAX(M33+J34,0)</f>
        <v/>
      </c>
      <c r="N34" s="21">
        <f>IF(F34=0,0,M34/F34*12)</f>
        <v/>
      </c>
    </row>
    <row r="35"/>
    <row r="36">
      <c r="A36" s="9" t="inlineStr">
        <is>
          <t>DCF RESULTS — WHAT THE NUMBERS PROVE</t>
        </is>
      </c>
    </row>
    <row r="37">
      <c r="A37" s="10" t="inlineStr">
        <is>
          <t>NPV of 10-Year Cash Flows</t>
        </is>
      </c>
      <c r="B37" s="14">
        <f>SUM(L25:L34)</f>
        <v/>
      </c>
      <c r="C37" s="13" t="inlineStr">
        <is>
          <t>Present value of all future cash flows, discounted at 5%. Negative = organization loses value.</t>
        </is>
      </c>
      <c r="D37" s="17" t="n"/>
      <c r="E37" s="17" t="n"/>
      <c r="F37" s="18" t="n"/>
    </row>
    <row r="38">
      <c r="A38" s="10" t="inlineStr">
        <is>
          <t>Terminal Cash Reserve (2034)</t>
        </is>
      </c>
      <c r="B38" s="14">
        <f>M34</f>
        <v/>
      </c>
      <c r="C38" s="13" t="inlineStr">
        <is>
          <t>Cash remaining after 10 years. If zero, KSA is insolvent.</t>
        </is>
      </c>
      <c r="D38" s="17" t="n"/>
      <c r="E38" s="17" t="n"/>
      <c r="F38" s="18" t="n"/>
    </row>
    <row r="39">
      <c r="A39" s="10" t="inlineStr">
        <is>
          <t>Total Undiscounted CF (10yr)</t>
        </is>
      </c>
      <c r="B39" s="14">
        <f>SUM(J25:J34)</f>
        <v/>
      </c>
      <c r="C39" s="13" t="inlineStr">
        <is>
          <t>Raw sum of net cash flows before discounting.</t>
        </is>
      </c>
      <c r="D39" s="17" t="n"/>
      <c r="E39" s="17" t="n"/>
      <c r="F39" s="18" t="n"/>
    </row>
    <row r="40">
      <c r="A40" s="10" t="inlineStr">
        <is>
          <t>Avg Annual Net CF</t>
        </is>
      </c>
      <c r="B40" s="14">
        <f>AVERAGE(J25:J34)</f>
        <v/>
      </c>
      <c r="C40" s="13" t="inlineStr">
        <is>
          <t>Average cash burn/gain per year.</t>
        </is>
      </c>
      <c r="D40" s="17" t="n"/>
      <c r="E40" s="17" t="n"/>
      <c r="F40" s="18" t="n"/>
    </row>
    <row r="41">
      <c r="A41" s="10" t="inlineStr">
        <is>
          <t>Years with Positive CF</t>
        </is>
      </c>
      <c r="B41" s="23">
        <f>COUNTIF(J25:J34,"&gt;"&amp;0)</f>
        <v/>
      </c>
      <c r="C41" s="13" t="inlineStr">
        <is>
          <t>How many of the 10 years generate surplus.</t>
        </is>
      </c>
      <c r="D41" s="17" t="n"/>
      <c r="E41" s="17" t="n"/>
      <c r="F41" s="18" t="n"/>
    </row>
    <row r="42">
      <c r="A42" s="10" t="inlineStr">
        <is>
          <t>Years Until Reserves Hit Zero</t>
        </is>
      </c>
      <c r="B42" s="23">
        <f>COUNTIF(M25:M34,"&gt;"&amp;0)</f>
        <v/>
      </c>
      <c r="C42" s="13" t="inlineStr">
        <is>
          <t>How many years before KSA runs out of cash.</t>
        </is>
      </c>
      <c r="D42" s="17" t="n"/>
      <c r="E42" s="17" t="n"/>
      <c r="F42" s="18" t="n"/>
    </row>
    <row r="43">
      <c r="A43" s="10" t="inlineStr">
        <is>
          <t>Final Months of Operating Reserve</t>
        </is>
      </c>
      <c r="B43" s="21">
        <f>N34</f>
        <v/>
      </c>
      <c r="C43" s="13" t="inlineStr">
        <is>
          <t>Healthy: 12+. Warning: 6-12. Critical: &lt;6.</t>
        </is>
      </c>
      <c r="D43" s="17" t="n"/>
      <c r="E43" s="17" t="n"/>
      <c r="F43" s="18" t="n"/>
    </row>
    <row r="44">
      <c r="A44" s="10" t="inlineStr">
        <is>
          <t>Breakeven Assessment Growth Needed</t>
        </is>
      </c>
      <c r="B44" s="11">
        <f>($B$10*(1+$B$13)-$B$7-$B$20)/$B$6-1</f>
        <v/>
      </c>
      <c r="C44" s="13" t="inlineStr">
        <is>
          <t>Assessment growth rate that makes Year 1 CF = 0 (ignoring catastrophe/lawsuit).</t>
        </is>
      </c>
      <c r="D44" s="17" t="n"/>
      <c r="E44" s="17" t="n"/>
      <c r="F44" s="18" t="n"/>
    </row>
    <row r="45">
      <c r="A45" s="10" t="inlineStr">
        <is>
          <t>Assessment Increase Per Unit (breakeven)</t>
        </is>
      </c>
      <c r="B45" s="8">
        <f>(($B$10*(1+$B$13)-$B$7-$B$20)-$B$6)/23354</f>
        <v/>
      </c>
      <c r="C45" s="13" t="inlineStr">
        <is>
          <t>Dollar increase per unit needed in Year 1 to break even.</t>
        </is>
      </c>
      <c r="D45" s="17" t="n"/>
      <c r="E45" s="17" t="n"/>
      <c r="F45" s="18" t="n"/>
    </row>
    <row r="46">
      <c r="A46" s="10" t="inlineStr">
        <is>
          <t>Cumulative Catastrophe Cost (expected)</t>
        </is>
      </c>
      <c r="B46" s="6">
        <f>SUM(H25:H34)</f>
        <v/>
      </c>
      <c r="C46" s="13" t="inlineStr">
        <is>
          <t>Total expected catastrophe reserve over 10 years.</t>
        </is>
      </c>
      <c r="D46" s="17" t="n"/>
      <c r="E46" s="17" t="n"/>
      <c r="F46" s="18" t="n"/>
    </row>
    <row r="47">
      <c r="A47" s="10" t="inlineStr">
        <is>
          <t>Total Lawsuit Impact</t>
        </is>
      </c>
      <c r="B47" s="6">
        <f>$B$18</f>
        <v/>
      </c>
      <c r="C47" s="13" t="inlineStr">
        <is>
          <t>One-time settlement payment.</t>
        </is>
      </c>
      <c r="D47" s="17" t="n"/>
      <c r="E47" s="17" t="n"/>
      <c r="F47" s="18" t="n"/>
    </row>
  </sheetData>
  <mergeCells count="29">
    <mergeCell ref="C17:F17"/>
    <mergeCell ref="C39:F39"/>
    <mergeCell ref="C8:F8"/>
    <mergeCell ref="C7:F7"/>
    <mergeCell ref="C38:F38"/>
    <mergeCell ref="C19:F19"/>
    <mergeCell ref="C37:F37"/>
    <mergeCell ref="A1:N1"/>
    <mergeCell ref="C13:F13"/>
    <mergeCell ref="C18:F18"/>
    <mergeCell ref="C6:F6"/>
    <mergeCell ref="C15:F15"/>
    <mergeCell ref="C5:F5"/>
    <mergeCell ref="C42:F42"/>
    <mergeCell ref="C14:F14"/>
    <mergeCell ref="C45:F45"/>
    <mergeCell ref="C20:F20"/>
    <mergeCell ref="A2:N2"/>
    <mergeCell ref="C16:F16"/>
    <mergeCell ref="C10:F10"/>
    <mergeCell ref="C41:F41"/>
    <mergeCell ref="C47:F47"/>
    <mergeCell ref="C44:F44"/>
    <mergeCell ref="C40:F40"/>
    <mergeCell ref="C9:F9"/>
    <mergeCell ref="C43:F43"/>
    <mergeCell ref="C12:F12"/>
    <mergeCell ref="C46:F46"/>
    <mergeCell ref="C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71C1C"/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1" customWidth="1" min="3" max="3"/>
    <col width="26" customWidth="1" min="4" max="4"/>
    <col width="22" customWidth="1" min="5" max="5"/>
    <col width="17" customWidth="1" min="6" max="6"/>
    <col width="15" customWidth="1" min="7" max="7"/>
    <col width="26" customWidth="1" min="8" max="8"/>
    <col width="25" customWidth="1" min="9" max="9"/>
    <col width="23" customWidth="1" min="10" max="10"/>
  </cols>
  <sheetData>
    <row r="1">
      <c r="A1" s="1" t="inlineStr">
        <is>
          <t>ASSESSMENT INCREASE SENSITIVITY — PROVING WHAT IT TAKES</t>
        </is>
      </c>
    </row>
    <row r="2"/>
    <row r="3">
      <c r="A3" s="9" t="inlineStr">
        <is>
          <t>INPUTS (from DCF Model sheet)</t>
        </is>
      </c>
    </row>
    <row r="4">
      <c r="A4" s="10" t="inlineStr">
        <is>
          <t>Current Assessment Rev</t>
        </is>
      </c>
      <c r="B4" s="6">
        <f>'DCF Model'!B6</f>
        <v/>
      </c>
    </row>
    <row r="5">
      <c r="A5" s="10" t="inlineStr">
        <is>
          <t>Equivalent Units</t>
        </is>
      </c>
      <c r="B5" s="23">
        <f>'DCF Model'!B5</f>
        <v/>
      </c>
    </row>
    <row r="6">
      <c r="A6" s="10" t="inlineStr">
        <is>
          <t>Current Per-Unit Cost</t>
        </is>
      </c>
      <c r="B6" s="8">
        <f>B4/B5</f>
        <v/>
      </c>
    </row>
    <row r="7">
      <c r="A7" s="10" t="inlineStr">
        <is>
          <t>Normalized Expenses (Year 1)</t>
        </is>
      </c>
      <c r="B7" s="6">
        <f>'DCF Model'!B10*(1+'DCF Model'!B13)</f>
        <v/>
      </c>
    </row>
    <row r="8">
      <c r="A8" s="10" t="inlineStr">
        <is>
          <t>Investment Income (est)</t>
        </is>
      </c>
      <c r="B8" s="6">
        <f>'DCF Model'!B11*'DCF Model'!B14</f>
        <v/>
      </c>
    </row>
    <row r="9">
      <c r="A9" s="10" t="inlineStr">
        <is>
          <t>Lease Income (est)</t>
        </is>
      </c>
      <c r="B9" s="6">
        <f>'DCF Model'!B20</f>
        <v/>
      </c>
    </row>
    <row r="10">
      <c r="A10" s="10" t="inlineStr">
        <is>
          <t>Year 1 Gap (no change)</t>
        </is>
      </c>
      <c r="B10" s="14">
        <f>B7-B4-B8-B9</f>
        <v/>
      </c>
    </row>
    <row r="11">
      <c r="A11" s="10" t="inlineStr">
        <is>
          <t>Cash Reserves</t>
        </is>
      </c>
      <c r="B11" s="6">
        <f>'DCF Model'!B11</f>
        <v/>
      </c>
    </row>
    <row r="12">
      <c r="A12" s="10" t="inlineStr">
        <is>
          <t>Years to Exhaust (at current gap)</t>
        </is>
      </c>
      <c r="B12" s="21">
        <f>IF(B10&lt;=0,99,B11/B10)</f>
        <v/>
      </c>
    </row>
    <row r="13"/>
    <row r="14">
      <c r="A14" s="9" t="inlineStr">
        <is>
          <t>PER-UNIT INCREASE SCENARIOS</t>
        </is>
      </c>
    </row>
    <row r="15">
      <c r="A15" s="3" t="inlineStr">
        <is>
          <t>Increase
Per Unit</t>
        </is>
      </c>
      <c r="B15" s="3" t="inlineStr">
        <is>
          <t>New Per-Unit
Assessment</t>
        </is>
      </c>
      <c r="C15" s="3" t="inlineStr">
        <is>
          <t>% Increase
Per Unit</t>
        </is>
      </c>
      <c r="D15" s="3" t="inlineStr">
        <is>
          <t>New Total
Assessment Rev</t>
        </is>
      </c>
      <c r="E15" s="3" t="inlineStr">
        <is>
          <t>Year 1
Total Revenue</t>
        </is>
      </c>
      <c r="F15" s="3" t="inlineStr">
        <is>
          <t>Year 1
Expenses</t>
        </is>
      </c>
      <c r="G15" s="3" t="inlineStr">
        <is>
          <t>Year 1
Net CF</t>
        </is>
      </c>
      <c r="H15" s="3" t="inlineStr">
        <is>
          <t>Years Until
Reserves Gone</t>
        </is>
      </c>
      <c r="I15" s="3" t="inlineStr">
        <is>
          <t>Sustainable
10 Years?</t>
        </is>
      </c>
      <c r="J15" s="3" t="inlineStr">
        <is>
          <t>Monthly
Increase/Home</t>
        </is>
      </c>
    </row>
    <row r="16">
      <c r="A16" s="15" t="n">
        <v>0</v>
      </c>
      <c r="B16" s="8">
        <f>$B$6+A16</f>
        <v/>
      </c>
      <c r="C16" s="7">
        <f>A16/$B$6</f>
        <v/>
      </c>
      <c r="D16" s="6">
        <f>B16*$B$5</f>
        <v/>
      </c>
      <c r="E16" s="6">
        <f>D16+$B$8+$B$9</f>
        <v/>
      </c>
      <c r="F16" s="6">
        <f>$B$7</f>
        <v/>
      </c>
      <c r="G16" s="14">
        <f>E16-F16</f>
        <v/>
      </c>
      <c r="H16" s="21">
        <f>IF(G16&gt;=0,99,IF(-G16=0,99,$B$11/(-G16)))</f>
        <v/>
      </c>
      <c r="I16" s="10">
        <f>IF(H16&gt;=10,"YES","NO")</f>
        <v/>
      </c>
      <c r="J16" s="8">
        <f>A16/12</f>
        <v/>
      </c>
    </row>
    <row r="17">
      <c r="A17" s="15" t="n">
        <v>5</v>
      </c>
      <c r="B17" s="8">
        <f>$B$6+A17</f>
        <v/>
      </c>
      <c r="C17" s="7">
        <f>A17/$B$6</f>
        <v/>
      </c>
      <c r="D17" s="6">
        <f>B17*$B$5</f>
        <v/>
      </c>
      <c r="E17" s="6">
        <f>D17+$B$8+$B$9</f>
        <v/>
      </c>
      <c r="F17" s="6">
        <f>$B$7</f>
        <v/>
      </c>
      <c r="G17" s="14">
        <f>E17-F17</f>
        <v/>
      </c>
      <c r="H17" s="21">
        <f>IF(G17&gt;=0,99,IF(-G17=0,99,$B$11/(-G17)))</f>
        <v/>
      </c>
      <c r="I17" s="10">
        <f>IF(H17&gt;=10,"YES","NO")</f>
        <v/>
      </c>
      <c r="J17" s="8">
        <f>A17/12</f>
        <v/>
      </c>
    </row>
    <row r="18">
      <c r="A18" s="15" t="n">
        <v>10</v>
      </c>
      <c r="B18" s="8">
        <f>$B$6+A18</f>
        <v/>
      </c>
      <c r="C18" s="7">
        <f>A18/$B$6</f>
        <v/>
      </c>
      <c r="D18" s="6">
        <f>B18*$B$5</f>
        <v/>
      </c>
      <c r="E18" s="6">
        <f>D18+$B$8+$B$9</f>
        <v/>
      </c>
      <c r="F18" s="6">
        <f>$B$7</f>
        <v/>
      </c>
      <c r="G18" s="14">
        <f>E18-F18</f>
        <v/>
      </c>
      <c r="H18" s="21">
        <f>IF(G18&gt;=0,99,IF(-G18=0,99,$B$11/(-G18)))</f>
        <v/>
      </c>
      <c r="I18" s="10">
        <f>IF(H18&gt;=10,"YES","NO")</f>
        <v/>
      </c>
      <c r="J18" s="8">
        <f>A18/12</f>
        <v/>
      </c>
    </row>
    <row r="19">
      <c r="A19" s="15" t="n">
        <v>15</v>
      </c>
      <c r="B19" s="8">
        <f>$B$6+A19</f>
        <v/>
      </c>
      <c r="C19" s="7">
        <f>A19/$B$6</f>
        <v/>
      </c>
      <c r="D19" s="6">
        <f>B19*$B$5</f>
        <v/>
      </c>
      <c r="E19" s="6">
        <f>D19+$B$8+$B$9</f>
        <v/>
      </c>
      <c r="F19" s="6">
        <f>$B$7</f>
        <v/>
      </c>
      <c r="G19" s="14">
        <f>E19-F19</f>
        <v/>
      </c>
      <c r="H19" s="21">
        <f>IF(G19&gt;=0,99,IF(-G19=0,99,$B$11/(-G19)))</f>
        <v/>
      </c>
      <c r="I19" s="10">
        <f>IF(H19&gt;=10,"YES","NO")</f>
        <v/>
      </c>
      <c r="J19" s="8">
        <f>A19/12</f>
        <v/>
      </c>
    </row>
    <row r="20">
      <c r="A20" s="15" t="n">
        <v>20</v>
      </c>
      <c r="B20" s="8">
        <f>$B$6+A20</f>
        <v/>
      </c>
      <c r="C20" s="7">
        <f>A20/$B$6</f>
        <v/>
      </c>
      <c r="D20" s="6">
        <f>B20*$B$5</f>
        <v/>
      </c>
      <c r="E20" s="6">
        <f>D20+$B$8+$B$9</f>
        <v/>
      </c>
      <c r="F20" s="6">
        <f>$B$7</f>
        <v/>
      </c>
      <c r="G20" s="14">
        <f>E20-F20</f>
        <v/>
      </c>
      <c r="H20" s="21">
        <f>IF(G20&gt;=0,99,IF(-G20=0,99,$B$11/(-G20)))</f>
        <v/>
      </c>
      <c r="I20" s="10">
        <f>IF(H20&gt;=10,"YES","NO")</f>
        <v/>
      </c>
      <c r="J20" s="8">
        <f>A20/12</f>
        <v/>
      </c>
    </row>
    <row r="21">
      <c r="A21" s="15" t="n">
        <v>25</v>
      </c>
      <c r="B21" s="8">
        <f>$B$6+A21</f>
        <v/>
      </c>
      <c r="C21" s="7">
        <f>A21/$B$6</f>
        <v/>
      </c>
      <c r="D21" s="6">
        <f>B21*$B$5</f>
        <v/>
      </c>
      <c r="E21" s="6">
        <f>D21+$B$8+$B$9</f>
        <v/>
      </c>
      <c r="F21" s="6">
        <f>$B$7</f>
        <v/>
      </c>
      <c r="G21" s="14">
        <f>E21-F21</f>
        <v/>
      </c>
      <c r="H21" s="21">
        <f>IF(G21&gt;=0,99,IF(-G21=0,99,$B$11/(-G21)))</f>
        <v/>
      </c>
      <c r="I21" s="10">
        <f>IF(H21&gt;=10,"YES","NO")</f>
        <v/>
      </c>
      <c r="J21" s="8">
        <f>A21/12</f>
        <v/>
      </c>
    </row>
    <row r="22">
      <c r="A22" s="15" t="n">
        <v>30</v>
      </c>
      <c r="B22" s="8">
        <f>$B$6+A22</f>
        <v/>
      </c>
      <c r="C22" s="7">
        <f>A22/$B$6</f>
        <v/>
      </c>
      <c r="D22" s="6">
        <f>B22*$B$5</f>
        <v/>
      </c>
      <c r="E22" s="6">
        <f>D22+$B$8+$B$9</f>
        <v/>
      </c>
      <c r="F22" s="6">
        <f>$B$7</f>
        <v/>
      </c>
      <c r="G22" s="14">
        <f>E22-F22</f>
        <v/>
      </c>
      <c r="H22" s="21">
        <f>IF(G22&gt;=0,99,IF(-G22=0,99,$B$11/(-G22)))</f>
        <v/>
      </c>
      <c r="I22" s="10">
        <f>IF(H22&gt;=10,"YES","NO")</f>
        <v/>
      </c>
      <c r="J22" s="8">
        <f>A22/12</f>
        <v/>
      </c>
    </row>
    <row r="23">
      <c r="A23" s="15" t="n">
        <v>40</v>
      </c>
      <c r="B23" s="8">
        <f>$B$6+A23</f>
        <v/>
      </c>
      <c r="C23" s="7">
        <f>A23/$B$6</f>
        <v/>
      </c>
      <c r="D23" s="6">
        <f>B23*$B$5</f>
        <v/>
      </c>
      <c r="E23" s="6">
        <f>D23+$B$8+$B$9</f>
        <v/>
      </c>
      <c r="F23" s="6">
        <f>$B$7</f>
        <v/>
      </c>
      <c r="G23" s="14">
        <f>E23-F23</f>
        <v/>
      </c>
      <c r="H23" s="21">
        <f>IF(G23&gt;=0,99,IF(-G23=0,99,$B$11/(-G23)))</f>
        <v/>
      </c>
      <c r="I23" s="10">
        <f>IF(H23&gt;=10,"YES","NO")</f>
        <v/>
      </c>
      <c r="J23" s="8">
        <f>A23/12</f>
        <v/>
      </c>
    </row>
    <row r="24">
      <c r="A24" s="15" t="n">
        <v>50</v>
      </c>
      <c r="B24" s="8">
        <f>$B$6+A24</f>
        <v/>
      </c>
      <c r="C24" s="7">
        <f>A24/$B$6</f>
        <v/>
      </c>
      <c r="D24" s="6">
        <f>B24*$B$5</f>
        <v/>
      </c>
      <c r="E24" s="6">
        <f>D24+$B$8+$B$9</f>
        <v/>
      </c>
      <c r="F24" s="6">
        <f>$B$7</f>
        <v/>
      </c>
      <c r="G24" s="14">
        <f>E24-F24</f>
        <v/>
      </c>
      <c r="H24" s="21">
        <f>IF(G24&gt;=0,99,IF(-G24=0,99,$B$11/(-G24)))</f>
        <v/>
      </c>
      <c r="I24" s="10">
        <f>IF(H24&gt;=10,"YES","NO")</f>
        <v/>
      </c>
      <c r="J24" s="8">
        <f>A24/12</f>
        <v/>
      </c>
    </row>
    <row r="25">
      <c r="A25" s="15" t="n">
        <v>75</v>
      </c>
      <c r="B25" s="8">
        <f>$B$6+A25</f>
        <v/>
      </c>
      <c r="C25" s="7">
        <f>A25/$B$6</f>
        <v/>
      </c>
      <c r="D25" s="6">
        <f>B25*$B$5</f>
        <v/>
      </c>
      <c r="E25" s="6">
        <f>D25+$B$8+$B$9</f>
        <v/>
      </c>
      <c r="F25" s="6">
        <f>$B$7</f>
        <v/>
      </c>
      <c r="G25" s="14">
        <f>E25-F25</f>
        <v/>
      </c>
      <c r="H25" s="21">
        <f>IF(G25&gt;=0,99,IF(-G25=0,99,$B$11/(-G25)))</f>
        <v/>
      </c>
      <c r="I25" s="10">
        <f>IF(H25&gt;=10,"YES","NO")</f>
        <v/>
      </c>
      <c r="J25" s="8">
        <f>A25/12</f>
        <v/>
      </c>
    </row>
    <row r="26">
      <c r="A26" s="15" t="n">
        <v>100</v>
      </c>
      <c r="B26" s="8">
        <f>$B$6+A26</f>
        <v/>
      </c>
      <c r="C26" s="7">
        <f>A26/$B$6</f>
        <v/>
      </c>
      <c r="D26" s="6">
        <f>B26*$B$5</f>
        <v/>
      </c>
      <c r="E26" s="6">
        <f>D26+$B$8+$B$9</f>
        <v/>
      </c>
      <c r="F26" s="6">
        <f>$B$7</f>
        <v/>
      </c>
      <c r="G26" s="14">
        <f>E26-F26</f>
        <v/>
      </c>
      <c r="H26" s="21">
        <f>IF(G26&gt;=0,99,IF(-G26=0,99,$B$11/(-G26)))</f>
        <v/>
      </c>
      <c r="I26" s="10">
        <f>IF(H26&gt;=10,"YES","NO")</f>
        <v/>
      </c>
      <c r="J26" s="8">
        <f>A26/12</f>
        <v/>
      </c>
    </row>
    <row r="27">
      <c r="A27" s="15" t="n">
        <v>150</v>
      </c>
      <c r="B27" s="8">
        <f>$B$6+A27</f>
        <v/>
      </c>
      <c r="C27" s="7">
        <f>A27/$B$6</f>
        <v/>
      </c>
      <c r="D27" s="6">
        <f>B27*$B$5</f>
        <v/>
      </c>
      <c r="E27" s="6">
        <f>D27+$B$8+$B$9</f>
        <v/>
      </c>
      <c r="F27" s="6">
        <f>$B$7</f>
        <v/>
      </c>
      <c r="G27" s="14">
        <f>E27-F27</f>
        <v/>
      </c>
      <c r="H27" s="21">
        <f>IF(G27&gt;=0,99,IF(-G27=0,99,$B$11/(-G27)))</f>
        <v/>
      </c>
      <c r="I27" s="10">
        <f>IF(H27&gt;=10,"YES","NO")</f>
        <v/>
      </c>
      <c r="J27" s="8">
        <f>A27/12</f>
        <v/>
      </c>
    </row>
    <row r="28">
      <c r="A28" s="15" t="n">
        <v>200</v>
      </c>
      <c r="B28" s="8">
        <f>$B$6+A28</f>
        <v/>
      </c>
      <c r="C28" s="7">
        <f>A28/$B$6</f>
        <v/>
      </c>
      <c r="D28" s="6">
        <f>B28*$B$5</f>
        <v/>
      </c>
      <c r="E28" s="6">
        <f>D28+$B$8+$B$9</f>
        <v/>
      </c>
      <c r="F28" s="6">
        <f>$B$7</f>
        <v/>
      </c>
      <c r="G28" s="14">
        <f>E28-F28</f>
        <v/>
      </c>
      <c r="H28" s="21">
        <f>IF(G28&gt;=0,99,IF(-G28=0,99,$B$11/(-G28)))</f>
        <v/>
      </c>
      <c r="I28" s="10">
        <f>IF(H28&gt;=10,"YES","NO")</f>
        <v/>
      </c>
      <c r="J28" s="8">
        <f>A28/12</f>
        <v/>
      </c>
    </row>
    <row r="29"/>
    <row r="30"/>
    <row r="31">
      <c r="A31" s="9" t="inlineStr">
        <is>
          <t>WHAT THIS PROVES</t>
        </is>
      </c>
    </row>
    <row r="32">
      <c r="A32" s="24" t="inlineStr">
        <is>
          <t>PROOF 1: At $0 increase, KSA runs a structural deficit. Revenue grows slower than expenses (1.5% vs 3.5%).</t>
        </is>
      </c>
    </row>
    <row r="33">
      <c r="A33" s="24" t="inlineStr">
        <is>
          <t>PROOF 2: The revenue-expense gap COMPOUNDS. Year 1 gap is modest, but by year 5 it accelerates.</t>
        </is>
      </c>
    </row>
    <row r="34">
      <c r="A34" s="24" t="inlineStr">
        <is>
          <t>PROOF 3: A $5/unit/year increase ($0.42/month per home) generates ~$117K additional revenue — significant.</t>
        </is>
      </c>
    </row>
    <row r="35">
      <c r="A35" s="24" t="inlineStr">
        <is>
          <t>PROOF 4: Find the row where 'Sustainable 10 Years?' flips from NO to YES — that's the minimum viable increase.</t>
        </is>
      </c>
    </row>
    <row r="36">
      <c r="A36" s="24" t="inlineStr">
        <is>
          <t>PROOF 5: Even the minimum increase doesn't account for catastrophic events (Harvey) or lawsuits (Mills Branch).</t>
        </is>
      </c>
    </row>
    <row r="37">
      <c r="A37" s="24" t="inlineStr">
        <is>
          <t>PROOF 6: The 2024 expense spike consumed ~25% of liquid reserves in ONE year. Reserves are finite.</t>
        </is>
      </c>
    </row>
    <row r="38">
      <c r="A38" s="24" t="inlineStr">
        <is>
          <t>PROOF 7: Assessment revenue per unit (~$41/yr or $3.42/month) is remarkably low for 356 acres of maintained parkland.</t>
        </is>
      </c>
    </row>
    <row r="39">
      <c r="A39" s="24" t="inlineStr">
        <is>
          <t>PROOF 8: At $200/unit increase, monthly cost per home goes from $3.42 to $20.08 — still low vs comparable HOAs.</t>
        </is>
      </c>
    </row>
  </sheetData>
  <mergeCells count="9">
    <mergeCell ref="A1:J1"/>
    <mergeCell ref="A37:J37"/>
    <mergeCell ref="A32:J32"/>
    <mergeCell ref="A36:J36"/>
    <mergeCell ref="A39:J39"/>
    <mergeCell ref="A34:J34"/>
    <mergeCell ref="A35:J35"/>
    <mergeCell ref="A38:J38"/>
    <mergeCell ref="A33:J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9" customWidth="1" min="3" max="3"/>
    <col width="12" customWidth="1" min="4" max="4"/>
    <col width="22" customWidth="1" min="5" max="5"/>
    <col width="22" customWidth="1" min="6" max="6"/>
    <col width="22" customWidth="1" min="7" max="7"/>
    <col width="19" customWidth="1" min="8" max="8"/>
    <col width="26" customWidth="1" min="9" max="9"/>
  </cols>
  <sheetData>
    <row r="1">
      <c r="A1" s="1" t="inlineStr">
        <is>
          <t>KSA BALANCE SHEET ANALYSIS — RESERVE HEALTH</t>
        </is>
      </c>
    </row>
    <row r="2"/>
    <row r="3">
      <c r="A3" s="3" t="inlineStr">
        <is>
          <t>Year</t>
        </is>
      </c>
      <c r="B3" s="3" t="inlineStr">
        <is>
          <t>Total
Assets</t>
        </is>
      </c>
      <c r="C3" s="3" t="inlineStr">
        <is>
          <t>Total
Liabilities</t>
        </is>
      </c>
      <c r="D3" s="3" t="inlineStr">
        <is>
          <t>Net
Assets</t>
        </is>
      </c>
      <c r="E3" s="3" t="inlineStr">
        <is>
          <t>Net Asset
YoY Change</t>
        </is>
      </c>
      <c r="F3" s="3" t="inlineStr">
        <is>
          <t>Debt/Asset
Ratio</t>
        </is>
      </c>
      <c r="G3" s="3" t="inlineStr">
        <is>
          <t>Net Income
(Rev-Exp)</t>
        </is>
      </c>
      <c r="H3" s="3" t="inlineStr">
        <is>
          <t>Cash/Invest
(est)</t>
        </is>
      </c>
      <c r="I3" s="3" t="inlineStr">
        <is>
          <t>Months of
Reserves</t>
        </is>
      </c>
    </row>
    <row r="4">
      <c r="A4" s="4" t="n">
        <v>2011</v>
      </c>
      <c r="B4" s="5" t="n">
        <v>2987497</v>
      </c>
      <c r="C4" s="5" t="n">
        <v>73750</v>
      </c>
      <c r="D4" s="5" t="n">
        <v>2913747</v>
      </c>
      <c r="F4" s="11">
        <f>IF(B4=0,0,C4/B4)</f>
        <v/>
      </c>
      <c r="G4" s="14">
        <f>819888-743479</f>
        <v/>
      </c>
      <c r="H4" s="6">
        <f>B4*0.67</f>
        <v/>
      </c>
      <c r="I4" s="21">
        <f>IF(743479=0,0,H4/743479*12)</f>
        <v/>
      </c>
    </row>
    <row r="5">
      <c r="A5" s="4" t="n">
        <v>2012</v>
      </c>
      <c r="B5" s="5" t="n">
        <v>2899789</v>
      </c>
      <c r="C5" s="5" t="n">
        <v>170172</v>
      </c>
      <c r="D5" s="5" t="n">
        <v>2729617</v>
      </c>
      <c r="E5" s="14">
        <f>D5-D4</f>
        <v/>
      </c>
      <c r="F5" s="11">
        <f>IF(B5=0,0,C5/B5)</f>
        <v/>
      </c>
      <c r="G5" s="14">
        <f>662415-724047</f>
        <v/>
      </c>
      <c r="H5" s="6">
        <f>B5*0.67</f>
        <v/>
      </c>
      <c r="I5" s="21">
        <f>IF(724047=0,0,H5/724047*12)</f>
        <v/>
      </c>
    </row>
    <row r="6">
      <c r="A6" s="4" t="n">
        <v>2013</v>
      </c>
      <c r="B6" s="5" t="n">
        <v>2674544</v>
      </c>
      <c r="C6" s="5" t="n">
        <v>4640</v>
      </c>
      <c r="D6" s="5" t="n">
        <v>2669904</v>
      </c>
      <c r="E6" s="14">
        <f>D6-D5</f>
        <v/>
      </c>
      <c r="F6" s="11">
        <f>IF(B6=0,0,C6/B6)</f>
        <v/>
      </c>
      <c r="G6" s="14">
        <f>845378-911275</f>
        <v/>
      </c>
      <c r="H6" s="6">
        <f>B6*0.67</f>
        <v/>
      </c>
      <c r="I6" s="21">
        <f>IF(911275=0,0,H6/911275*12)</f>
        <v/>
      </c>
    </row>
    <row r="7">
      <c r="A7" s="4" t="n">
        <v>2014</v>
      </c>
      <c r="B7" s="5" t="n">
        <v>2904598</v>
      </c>
      <c r="C7" s="5" t="n">
        <v>124107</v>
      </c>
      <c r="D7" s="5" t="n">
        <v>2780491</v>
      </c>
      <c r="E7" s="14">
        <f>D7-D6</f>
        <v/>
      </c>
      <c r="F7" s="11">
        <f>IF(B7=0,0,C7/B7)</f>
        <v/>
      </c>
      <c r="G7" s="14">
        <f>760477-649890</f>
        <v/>
      </c>
      <c r="H7" s="6">
        <f>B7*0.67</f>
        <v/>
      </c>
      <c r="I7" s="21">
        <f>IF(649890=0,0,H7/649890*12)</f>
        <v/>
      </c>
    </row>
    <row r="8">
      <c r="A8" s="4" t="n">
        <v>2015</v>
      </c>
      <c r="B8" s="5" t="n">
        <v>2944439</v>
      </c>
      <c r="C8" s="5" t="n">
        <v>97468</v>
      </c>
      <c r="D8" s="5" t="n">
        <v>2846971</v>
      </c>
      <c r="E8" s="14">
        <f>D8-D7</f>
        <v/>
      </c>
      <c r="F8" s="11">
        <f>IF(B8=0,0,C8/B8)</f>
        <v/>
      </c>
      <c r="G8" s="14">
        <f>838333-771855</f>
        <v/>
      </c>
      <c r="H8" s="6">
        <f>B8*0.67</f>
        <v/>
      </c>
      <c r="I8" s="21">
        <f>IF(771855=0,0,H8/771855*12)</f>
        <v/>
      </c>
    </row>
    <row r="9">
      <c r="A9" s="4" t="n">
        <v>2016</v>
      </c>
      <c r="B9" s="5" t="n">
        <v>3045749</v>
      </c>
      <c r="C9" s="5" t="n">
        <v>83604</v>
      </c>
      <c r="D9" s="5" t="n">
        <v>2962145</v>
      </c>
      <c r="E9" s="14">
        <f>D9-D8</f>
        <v/>
      </c>
      <c r="F9" s="11">
        <f>IF(B9=0,0,C9/B9)</f>
        <v/>
      </c>
      <c r="G9" s="14">
        <f>904564-789390</f>
        <v/>
      </c>
      <c r="H9" s="6">
        <f>B9*0.67</f>
        <v/>
      </c>
      <c r="I9" s="21">
        <f>IF(789390=0,0,H9/789390*12)</f>
        <v/>
      </c>
    </row>
    <row r="10">
      <c r="A10" s="4" t="n">
        <v>2017</v>
      </c>
      <c r="B10" s="5" t="n">
        <v>3060685</v>
      </c>
      <c r="C10" s="5" t="n">
        <v>110237</v>
      </c>
      <c r="D10" s="5" t="n">
        <v>2950448</v>
      </c>
      <c r="E10" s="14">
        <f>D10-D9</f>
        <v/>
      </c>
      <c r="F10" s="11">
        <f>IF(B10=0,0,C10/B10)</f>
        <v/>
      </c>
      <c r="G10" s="14">
        <f>884034-895731</f>
        <v/>
      </c>
      <c r="H10" s="6">
        <f>B10*0.67</f>
        <v/>
      </c>
      <c r="I10" s="21">
        <f>IF(895731=0,0,H10/895731*12)</f>
        <v/>
      </c>
    </row>
    <row r="11">
      <c r="A11" s="4" t="n">
        <v>2018</v>
      </c>
      <c r="B11" s="5" t="n">
        <v>3279346</v>
      </c>
      <c r="C11" s="5" t="n">
        <v>82355</v>
      </c>
      <c r="D11" s="5" t="n">
        <v>3196991</v>
      </c>
      <c r="E11" s="14">
        <f>D11-D10</f>
        <v/>
      </c>
      <c r="F11" s="11">
        <f>IF(B11=0,0,C11/B11)</f>
        <v/>
      </c>
      <c r="G11" s="14">
        <f>926473-745644</f>
        <v/>
      </c>
      <c r="H11" s="6">
        <f>B11*0.67</f>
        <v/>
      </c>
      <c r="I11" s="21">
        <f>IF(745644=0,0,H11/745644*12)</f>
        <v/>
      </c>
    </row>
    <row r="12">
      <c r="A12" s="4" t="n">
        <v>2019</v>
      </c>
      <c r="B12" s="5" t="n">
        <v>3344706</v>
      </c>
      <c r="C12" s="5" t="n">
        <v>0</v>
      </c>
      <c r="D12" s="5" t="n">
        <v>3344706</v>
      </c>
      <c r="E12" s="14">
        <f>D12-D11</f>
        <v/>
      </c>
      <c r="F12" s="11">
        <f>IF(B12=0,0,C12/B12)</f>
        <v/>
      </c>
      <c r="G12" s="14">
        <f>998251-850536</f>
        <v/>
      </c>
      <c r="H12" s="6">
        <f>B12*0.67</f>
        <v/>
      </c>
      <c r="I12" s="21">
        <f>IF(850536=0,0,H12/850536*12)</f>
        <v/>
      </c>
    </row>
    <row r="13">
      <c r="A13" s="4" t="n">
        <v>2020</v>
      </c>
      <c r="B13" s="5" t="n">
        <v>3357510</v>
      </c>
      <c r="C13" s="5" t="n">
        <v>0</v>
      </c>
      <c r="D13" s="5" t="n">
        <v>3357510</v>
      </c>
      <c r="E13" s="14">
        <f>D13-D12</f>
        <v/>
      </c>
      <c r="F13" s="11">
        <f>IF(B13=0,0,C13/B13)</f>
        <v/>
      </c>
      <c r="G13" s="14">
        <f>1031234-1018430</f>
        <v/>
      </c>
      <c r="H13" s="6">
        <f>B13*0.67</f>
        <v/>
      </c>
      <c r="I13" s="21">
        <f>IF(1018430=0,0,H13/1018430*12)</f>
        <v/>
      </c>
    </row>
    <row r="14">
      <c r="A14" s="4" t="n">
        <v>2021</v>
      </c>
      <c r="B14" s="5" t="n">
        <v>3449283</v>
      </c>
      <c r="C14" s="5" t="n">
        <v>56</v>
      </c>
      <c r="D14" s="5" t="n">
        <v>3449227</v>
      </c>
      <c r="E14" s="14">
        <f>D14-D13</f>
        <v/>
      </c>
      <c r="F14" s="11">
        <f>IF(B14=0,0,C14/B14)</f>
        <v/>
      </c>
      <c r="G14" s="14">
        <f>1039957-948240</f>
        <v/>
      </c>
      <c r="H14" s="6">
        <f>B14*0.67</f>
        <v/>
      </c>
      <c r="I14" s="21">
        <f>IF(948240=0,0,H14/948240*12)</f>
        <v/>
      </c>
    </row>
    <row r="15">
      <c r="A15" s="4" t="n">
        <v>2022</v>
      </c>
      <c r="B15" s="5" t="n">
        <v>3604403</v>
      </c>
      <c r="C15" s="5" t="n">
        <v>33</v>
      </c>
      <c r="D15" s="5" t="n">
        <v>3604370</v>
      </c>
      <c r="E15" s="14">
        <f>D15-D14</f>
        <v/>
      </c>
      <c r="F15" s="11">
        <f>IF(B15=0,0,C15/B15)</f>
        <v/>
      </c>
      <c r="G15" s="14">
        <f>1034863-861519</f>
        <v/>
      </c>
      <c r="H15" s="6">
        <f>B15*0.67</f>
        <v/>
      </c>
      <c r="I15" s="21">
        <f>IF(861519=0,0,H15/861519*12)</f>
        <v/>
      </c>
    </row>
    <row r="16">
      <c r="A16" s="4" t="n">
        <v>2023</v>
      </c>
      <c r="B16" s="5" t="n">
        <v>3644171</v>
      </c>
      <c r="C16" s="5" t="n">
        <v>7164</v>
      </c>
      <c r="D16" s="5" t="n">
        <v>3637007</v>
      </c>
      <c r="E16" s="14">
        <f>D16-D15</f>
        <v/>
      </c>
      <c r="F16" s="11">
        <f>IF(B16=0,0,C16/B16)</f>
        <v/>
      </c>
      <c r="G16" s="14">
        <f>1041801-1009164</f>
        <v/>
      </c>
      <c r="H16" s="6">
        <f>B16*0.67</f>
        <v/>
      </c>
      <c r="I16" s="21">
        <f>IF(1009164=0,0,H16/1009164*12)</f>
        <v/>
      </c>
    </row>
    <row r="17">
      <c r="A17" s="4" t="n">
        <v>2024</v>
      </c>
      <c r="B17" s="5" t="n">
        <v>3123778</v>
      </c>
      <c r="C17" s="5" t="n">
        <v>3500</v>
      </c>
      <c r="D17" s="5" t="n">
        <v>3120278</v>
      </c>
      <c r="E17" s="14">
        <f>D17-D16</f>
        <v/>
      </c>
      <c r="F17" s="11">
        <f>IF(B17=0,0,C17/B17)</f>
        <v/>
      </c>
      <c r="G17" s="14">
        <f>1048921-1565650</f>
        <v/>
      </c>
      <c r="H17" s="6">
        <f>B17*0.67</f>
        <v/>
      </c>
      <c r="I17" s="21">
        <f>IF(1565650=0,0,H17/1565650*12)</f>
        <v/>
      </c>
    </row>
    <row r="18"/>
    <row r="19">
      <c r="A19" s="9" t="inlineStr">
        <is>
          <t>RESERVE HEALTH INDICATORS</t>
        </is>
      </c>
    </row>
    <row r="20">
      <c r="A20" s="10" t="inlineStr">
        <is>
          <t>2024 Cash/Investments (actual)</t>
        </is>
      </c>
      <c r="B20" s="15" t="n">
        <v>2092894</v>
      </c>
    </row>
    <row r="21">
      <c r="A21" s="10" t="inlineStr">
        <is>
          <t>2024 Total Expenses</t>
        </is>
      </c>
      <c r="B21" s="15" t="n">
        <v>1565650</v>
      </c>
    </row>
    <row r="22">
      <c r="A22" s="10" t="inlineStr">
        <is>
          <t>Months at 2024 Expense Rate</t>
        </is>
      </c>
      <c r="B22" s="21">
        <f>B20/B21*12</f>
        <v/>
      </c>
    </row>
    <row r="23">
      <c r="A23" s="10" t="inlineStr">
        <is>
          <t>2023 Cash/Investments (actual)</t>
        </is>
      </c>
      <c r="B23" s="15" t="n">
        <v>2594104</v>
      </c>
    </row>
    <row r="24">
      <c r="A24" s="10" t="inlineStr">
        <is>
          <t>Cash Decline (2023→2024)</t>
        </is>
      </c>
      <c r="B24" s="14">
        <f>B23-B20</f>
        <v/>
      </c>
    </row>
    <row r="25">
      <c r="A25" s="10" t="inlineStr">
        <is>
          <t>% of Reserves Lost in 1 Year</t>
        </is>
      </c>
      <c r="B25" s="7">
        <f>B24/B23</f>
        <v/>
      </c>
    </row>
    <row r="26">
      <c r="A26" s="10" t="inlineStr">
        <is>
          <t>At This Rate, Reserves Last</t>
        </is>
      </c>
      <c r="B26" s="21">
        <f>IF(B24&lt;=0,99,B20/B24)</f>
        <v/>
      </c>
    </row>
    <row r="27">
      <c r="A27" s="10" t="inlineStr">
        <is>
          <t>Net Assets Peak (2023)</t>
        </is>
      </c>
      <c r="B27" s="15" t="n">
        <v>3637007</v>
      </c>
    </row>
    <row r="28">
      <c r="A28" s="10" t="inlineStr">
        <is>
          <t>Net Assets Now (2024)</t>
        </is>
      </c>
      <c r="B28" s="15" t="n">
        <v>3120278</v>
      </c>
    </row>
    <row r="29">
      <c r="A29" s="10" t="inlineStr">
        <is>
          <t>Decline from Peak</t>
        </is>
      </c>
      <c r="B29" s="14">
        <f>B27-B28</f>
        <v/>
      </c>
    </row>
    <row r="30">
      <c r="A30" s="10" t="inlineStr">
        <is>
          <t>% Decline from Peak</t>
        </is>
      </c>
      <c r="B30" s="7">
        <f>B29/B27</f>
        <v/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6B35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5" customWidth="1" min="4" max="4"/>
    <col width="16" customWidth="1" min="5" max="5"/>
    <col width="26" customWidth="1" min="6" max="6"/>
    <col width="12" customWidth="1" min="7" max="7"/>
  </cols>
  <sheetData>
    <row r="1">
      <c r="A1" s="1" t="inlineStr">
        <is>
          <t>WHAT THIS MEANS FOR RIVER GROVE DISC GOLF CLUB</t>
        </is>
      </c>
    </row>
    <row r="2"/>
    <row r="3">
      <c r="A3" s="9" t="inlineStr">
        <is>
          <t>RIVER GROVE PARK BUDGET ALLOCATION</t>
        </is>
      </c>
    </row>
    <row r="4">
      <c r="A4" s="10" t="inlineStr">
        <is>
          <t>KSA Total Parks Budget (est 44%)</t>
        </is>
      </c>
      <c r="B4" s="6">
        <f>'Expense Analysis'!B34</f>
        <v/>
      </c>
      <c r="C4" s="13" t="inlineStr">
        <is>
          <t>Parks ops is ~44% of KSA budget (confirmed 2009, 2012)</t>
        </is>
      </c>
    </row>
    <row r="5">
      <c r="A5" s="10" t="inlineStr">
        <is>
          <t>Number of Parks</t>
        </is>
      </c>
      <c r="B5" s="16" t="n">
        <v>5</v>
      </c>
      <c r="C5" s="13" t="inlineStr">
        <is>
          <t>River Grove, East End, Deer Ridge, Northpark, Creekwood</t>
        </is>
      </c>
    </row>
    <row r="6">
      <c r="A6" s="10" t="inlineStr">
        <is>
          <t>Total Park Acreage</t>
        </is>
      </c>
      <c r="B6" s="25" t="n">
        <v>356.6</v>
      </c>
      <c r="C6" s="13" t="inlineStr">
        <is>
          <t>KSA-owned parkland</t>
        </is>
      </c>
    </row>
    <row r="7">
      <c r="A7" s="10" t="inlineStr">
        <is>
          <t>River Grove Acreage</t>
        </is>
      </c>
      <c r="B7" s="16" t="n">
        <v>74</v>
      </c>
      <c r="C7" s="13" t="inlineStr"/>
    </row>
    <row r="8">
      <c r="A8" s="10" t="inlineStr">
        <is>
          <t>River Grove % (by acreage)</t>
        </is>
      </c>
      <c r="B8" s="7">
        <f>B7/B6</f>
        <v/>
      </c>
      <c r="C8" s="13" t="inlineStr"/>
    </row>
    <row r="9">
      <c r="A9" s="10" t="inlineStr">
        <is>
          <t>Est. River Grove Annual Budget</t>
        </is>
      </c>
      <c r="B9" s="6">
        <f>B4*B8</f>
        <v/>
      </c>
      <c r="C9" s="13" t="inlineStr">
        <is>
          <t>KSA's approximate spend on River Grove</t>
        </is>
      </c>
    </row>
    <row r="10">
      <c r="A10" s="10" t="inlineStr">
        <is>
          <t>Disc Golf % of River Grove (est)</t>
        </is>
      </c>
      <c r="B10" s="19" t="n">
        <v>0.15</v>
      </c>
      <c r="C10" s="13" t="inlineStr">
        <is>
          <t>DG uses ~15% of park area/resources</t>
        </is>
      </c>
    </row>
    <row r="11">
      <c r="A11" s="10" t="inlineStr">
        <is>
          <t>Est. Annual DG Maintenance</t>
        </is>
      </c>
      <c r="B11" s="6">
        <f>B9*B10</f>
        <v/>
      </c>
      <c r="C11" s="13" t="inlineStr">
        <is>
          <t>What KSA likely spends on disc golf annually</t>
        </is>
      </c>
    </row>
    <row r="12"/>
    <row r="13">
      <c r="A13" s="9" t="inlineStr">
        <is>
          <t>DISC GOLF IMPROVEMENT COSTS &amp; ROI</t>
        </is>
      </c>
    </row>
    <row r="14">
      <c r="A14" s="3" t="inlineStr">
        <is>
          <t>Improvement</t>
        </is>
      </c>
      <c r="B14" s="3" t="inlineStr">
        <is>
          <t>Unit $</t>
        </is>
      </c>
      <c r="C14" s="3" t="inlineStr">
        <is>
          <t>Qty</t>
        </is>
      </c>
      <c r="D14" s="3" t="inlineStr">
        <is>
          <t>Total $</t>
        </is>
      </c>
      <c r="E14" s="3" t="inlineStr">
        <is>
          <t>% of RG Budget</t>
        </is>
      </c>
      <c r="F14" s="3" t="inlineStr">
        <is>
          <t>Funding Source</t>
        </is>
      </c>
    </row>
    <row r="15">
      <c r="A15" s="12" t="inlineStr">
        <is>
          <t>Concrete tee pads</t>
        </is>
      </c>
      <c r="B15" s="15" t="n">
        <v>800</v>
      </c>
      <c r="C15" s="16" t="n">
        <v>21</v>
      </c>
      <c r="D15" s="6">
        <f>B15*C15</f>
        <v/>
      </c>
      <c r="E15" s="7">
        <f>D15/$B$9</f>
        <v/>
      </c>
      <c r="F15" s="13" t="inlineStr">
        <is>
          <t>RGDGC co-fund 50% + KSA Parks Foundation</t>
        </is>
      </c>
    </row>
    <row r="16">
      <c r="A16" s="12" t="inlineStr">
        <is>
          <t>DGA Mach X baskets</t>
        </is>
      </c>
      <c r="B16" s="15" t="n">
        <v>450</v>
      </c>
      <c r="C16" s="16" t="n">
        <v>21</v>
      </c>
      <c r="D16" s="6">
        <f>B16*C16</f>
        <v/>
      </c>
      <c r="E16" s="7">
        <f>D16/$B$9</f>
        <v/>
      </c>
      <c r="F16" s="13" t="inlineStr">
        <is>
          <t>Parks Foundation 501(c)(3) donor campaign</t>
        </is>
      </c>
    </row>
    <row r="17">
      <c r="A17" s="12" t="inlineStr">
        <is>
          <t>Per-hole signage</t>
        </is>
      </c>
      <c r="B17" s="15" t="n">
        <v>150</v>
      </c>
      <c r="C17" s="16" t="n">
        <v>21</v>
      </c>
      <c r="D17" s="6">
        <f>B17*C17</f>
        <v/>
      </c>
      <c r="E17" s="7">
        <f>D17/$B$9</f>
        <v/>
      </c>
      <c r="F17" s="13" t="inlineStr">
        <is>
          <t>RGDGC member dues</t>
        </is>
      </c>
    </row>
    <row r="18">
      <c r="A18" s="12" t="inlineStr">
        <is>
          <t>Benches/seating</t>
        </is>
      </c>
      <c r="B18" s="15" t="n">
        <v>300</v>
      </c>
      <c r="C18" s="16" t="n">
        <v>18</v>
      </c>
      <c r="D18" s="6">
        <f>B18*C18</f>
        <v/>
      </c>
      <c r="E18" s="7">
        <f>D18/$B$9</f>
        <v/>
      </c>
      <c r="F18" s="13" t="inlineStr">
        <is>
          <t>Parks Foundation + memorial dedications</t>
        </is>
      </c>
    </row>
    <row r="19">
      <c r="A19" s="12" t="inlineStr">
        <is>
          <t>Practice basket area</t>
        </is>
      </c>
      <c r="B19" s="15" t="n">
        <v>2000</v>
      </c>
      <c r="C19" s="16" t="n">
        <v>1</v>
      </c>
      <c r="D19" s="6">
        <f>B19*C19</f>
        <v/>
      </c>
      <c r="E19" s="7">
        <f>D19/$B$9</f>
        <v/>
      </c>
      <c r="F19" s="13" t="inlineStr">
        <is>
          <t>RGDGC tournament revenue</t>
        </is>
      </c>
    </row>
    <row r="20">
      <c r="A20" s="12" t="inlineStr">
        <is>
          <t>Drainage improvements</t>
        </is>
      </c>
      <c r="B20" s="15" t="n">
        <v>25000</v>
      </c>
      <c r="C20" s="16" t="n">
        <v>1</v>
      </c>
      <c r="D20" s="6">
        <f>B20*C20</f>
        <v/>
      </c>
      <c r="E20" s="7">
        <f>D20/$B$9</f>
        <v/>
      </c>
      <c r="F20" s="13" t="inlineStr">
        <is>
          <t>KSA capital budget + HCFCD grant</t>
        </is>
      </c>
    </row>
    <row r="21">
      <c r="A21" s="12" t="inlineStr">
        <is>
          <t>Trail resurfacing</t>
        </is>
      </c>
      <c r="B21" s="15" t="n">
        <v>8000</v>
      </c>
      <c r="C21" s="16" t="n">
        <v>1</v>
      </c>
      <c r="D21" s="6">
        <f>B21*C21</f>
        <v/>
      </c>
      <c r="E21" s="7">
        <f>D21/$B$9</f>
        <v/>
      </c>
      <c r="F21" s="13" t="inlineStr">
        <is>
          <t>KSA operating budget</t>
        </is>
      </c>
    </row>
    <row r="22">
      <c r="A22" s="10" t="inlineStr">
        <is>
          <t>TOTAL ALL IMPROVEMENTS</t>
        </is>
      </c>
      <c r="D22" s="6">
        <f>SUM(D15:D21)</f>
        <v/>
      </c>
      <c r="E22" s="7">
        <f>D22/$B$9</f>
        <v/>
      </c>
    </row>
    <row r="23"/>
    <row r="24">
      <c r="A24" s="9" t="inlineStr">
        <is>
          <t>DISC GOLF VALUE PROPOSITION TO KSA</t>
        </is>
      </c>
    </row>
    <row r="25">
      <c r="A25" s="10" t="inlineStr">
        <is>
          <t>Estimated weekly players</t>
        </is>
      </c>
      <c r="B25" s="16" t="n">
        <v>150</v>
      </c>
    </row>
    <row r="26">
      <c r="A26" s="10" t="inlineStr">
        <is>
          <t>Annual player visits</t>
        </is>
      </c>
      <c r="B26" s="23">
        <f>B25*52</f>
        <v/>
      </c>
    </row>
    <row r="27">
      <c r="A27" s="10" t="inlineStr">
        <is>
          <t>Estimated unique annual visitors</t>
        </is>
      </c>
      <c r="B27" s="23">
        <f>B26*0.3</f>
        <v/>
      </c>
    </row>
    <row r="28">
      <c r="A28" s="10" t="inlineStr">
        <is>
          <t>% Kingwood residents</t>
        </is>
      </c>
      <c r="B28" s="19" t="n">
        <v>0.7</v>
      </c>
    </row>
    <row r="29">
      <c r="A29" s="10" t="inlineStr">
        <is>
          <t>Resident players per year</t>
        </is>
      </c>
      <c r="B29" s="23">
        <f>B27*B28</f>
        <v/>
      </c>
    </row>
    <row r="30">
      <c r="A30" s="10" t="inlineStr">
        <is>
          <t>KSA cost per player visit</t>
        </is>
      </c>
      <c r="B30" s="8">
        <f>B11/B26</f>
        <v/>
      </c>
    </row>
    <row r="31">
      <c r="A31" s="10" t="inlineStr">
        <is>
          <t>Cost per unique visitor</t>
        </is>
      </c>
      <c r="B31" s="8">
        <f>B11/B27</f>
        <v/>
      </c>
    </row>
    <row r="32">
      <c r="A32" s="10" t="inlineStr">
        <is>
          <t>Annual assessment per unit</t>
        </is>
      </c>
      <c r="B32" s="8">
        <f>'DCF Model'!B6/'DCF Model'!B5</f>
        <v/>
      </c>
    </row>
    <row r="33">
      <c r="A33" s="10" t="inlineStr">
        <is>
          <t>DG cost as % of assessment</t>
        </is>
      </c>
      <c r="B33" s="7">
        <f>B11/B32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71C1C"/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19" customWidth="1" min="5" max="5"/>
    <col width="26" customWidth="1" min="6" max="6"/>
    <col width="18" customWidth="1" min="7" max="7"/>
    <col width="26" customWidth="1" min="8" max="8"/>
  </cols>
  <sheetData>
    <row r="1">
      <c r="A1" s="1" t="inlineStr">
        <is>
          <t>FORENSIC FINANCIAL EVIDENCE — KSA FRAUD INDICATORS</t>
        </is>
      </c>
    </row>
    <row r="2">
      <c r="A2" s="2" t="inlineStr">
        <is>
          <t>Analysis from aggressive fraud attorney perspective. All formulas prove claims with 990 data.</t>
        </is>
      </c>
    </row>
    <row r="3"/>
    <row r="4">
      <c r="A4" s="9" t="inlineStr">
        <is>
          <t>EXHIBIT A: RETAINED SURPLUS ANALYSIS</t>
        </is>
      </c>
    </row>
    <row r="5">
      <c r="A5" s="2" t="inlineStr">
        <is>
          <t>Article VIII requires return of unspent funds. These formulas prove surpluses were retained.</t>
        </is>
      </c>
    </row>
    <row r="6">
      <c r="A6" s="3" t="inlineStr">
        <is>
          <t>Year</t>
        </is>
      </c>
      <c r="B6" s="3" t="inlineStr">
        <is>
          <t>Revenue</t>
        </is>
      </c>
      <c r="C6" s="3" t="inlineStr">
        <is>
          <t>Expenses</t>
        </is>
      </c>
      <c r="D6" s="3" t="inlineStr">
        <is>
          <t>Surplus
(Rev-Exp)</t>
        </is>
      </c>
      <c r="E6" s="3" t="inlineStr">
        <is>
          <t>Surplus
Returned?</t>
        </is>
      </c>
      <c r="F6" s="3" t="inlineStr">
        <is>
          <t>Cumulative
Retained</t>
        </is>
      </c>
      <c r="G6" s="3" t="inlineStr">
        <is>
          <t>Net Asset
Change</t>
        </is>
      </c>
      <c r="H6" s="3" t="inlineStr">
        <is>
          <t>Proves
Retention?</t>
        </is>
      </c>
    </row>
    <row r="7">
      <c r="A7" s="4" t="n">
        <v>2011</v>
      </c>
      <c r="B7" s="5" t="n">
        <v>819888</v>
      </c>
      <c r="C7" s="5" t="n">
        <v>743479</v>
      </c>
      <c r="D7" s="14">
        <f>B7-C7</f>
        <v/>
      </c>
      <c r="E7" s="26" t="inlineStr">
        <is>
          <t>UNKNOWN</t>
        </is>
      </c>
      <c r="F7" s="6">
        <f>SUMPRODUCT((D$7:D7)*(D$7:D7&gt;0))</f>
        <v/>
      </c>
      <c r="G7" s="5" t="n">
        <v>0</v>
      </c>
      <c r="H7" s="12" t="inlineStr">
        <is>
          <t>N/A</t>
        </is>
      </c>
    </row>
    <row r="8">
      <c r="A8" s="4" t="n">
        <v>2012</v>
      </c>
      <c r="B8" s="5" t="n">
        <v>662415</v>
      </c>
      <c r="C8" s="5" t="n">
        <v>724047</v>
      </c>
      <c r="D8" s="14">
        <f>B8-C8</f>
        <v/>
      </c>
      <c r="E8" s="26" t="inlineStr">
        <is>
          <t>UNKNOWN</t>
        </is>
      </c>
      <c r="F8" s="6">
        <f>SUMPRODUCT((D$7:D8)*(D$7:D8&gt;0))</f>
        <v/>
      </c>
      <c r="G8" s="14">
        <f>2729617-2913747</f>
        <v/>
      </c>
      <c r="H8" s="10">
        <f>IF(AND(D8&gt;0,G8&gt;0),"YES - RETAINED","Inconclusive")</f>
        <v/>
      </c>
    </row>
    <row r="9">
      <c r="A9" s="4" t="n">
        <v>2013</v>
      </c>
      <c r="B9" s="5" t="n">
        <v>845378</v>
      </c>
      <c r="C9" s="5" t="n">
        <v>911275</v>
      </c>
      <c r="D9" s="14">
        <f>B9-C9</f>
        <v/>
      </c>
      <c r="E9" s="26" t="inlineStr">
        <is>
          <t>UNKNOWN</t>
        </is>
      </c>
      <c r="F9" s="6">
        <f>SUMPRODUCT((D$7:D9)*(D$7:D9&gt;0))</f>
        <v/>
      </c>
      <c r="G9" s="14">
        <f>2669904-2729617</f>
        <v/>
      </c>
      <c r="H9" s="10">
        <f>IF(AND(D9&gt;0,G9&gt;0),"YES - RETAINED","Inconclusive")</f>
        <v/>
      </c>
    </row>
    <row r="10">
      <c r="A10" s="4" t="n">
        <v>2014</v>
      </c>
      <c r="B10" s="5" t="n">
        <v>760477</v>
      </c>
      <c r="C10" s="5" t="n">
        <v>649890</v>
      </c>
      <c r="D10" s="14">
        <f>B10-C10</f>
        <v/>
      </c>
      <c r="E10" s="26" t="inlineStr">
        <is>
          <t>UNKNOWN</t>
        </is>
      </c>
      <c r="F10" s="6">
        <f>SUMPRODUCT((D$7:D10)*(D$7:D10&gt;0))</f>
        <v/>
      </c>
      <c r="G10" s="14">
        <f>2780491-2669904</f>
        <v/>
      </c>
      <c r="H10" s="10">
        <f>IF(AND(D10&gt;0,G10&gt;0),"YES - RETAINED","Inconclusive")</f>
        <v/>
      </c>
    </row>
    <row r="11">
      <c r="A11" s="4" t="n">
        <v>2015</v>
      </c>
      <c r="B11" s="5" t="n">
        <v>838333</v>
      </c>
      <c r="C11" s="5" t="n">
        <v>771855</v>
      </c>
      <c r="D11" s="14">
        <f>B11-C11</f>
        <v/>
      </c>
      <c r="E11" s="26" t="inlineStr">
        <is>
          <t>UNKNOWN</t>
        </is>
      </c>
      <c r="F11" s="6">
        <f>SUMPRODUCT((D$7:D11)*(D$7:D11&gt;0))</f>
        <v/>
      </c>
      <c r="G11" s="14">
        <f>2846971-2780491</f>
        <v/>
      </c>
      <c r="H11" s="10">
        <f>IF(AND(D11&gt;0,G11&gt;0),"YES - RETAINED","Inconclusive")</f>
        <v/>
      </c>
    </row>
    <row r="12">
      <c r="A12" s="4" t="n">
        <v>2016</v>
      </c>
      <c r="B12" s="5" t="n">
        <v>904564</v>
      </c>
      <c r="C12" s="5" t="n">
        <v>789390</v>
      </c>
      <c r="D12" s="14">
        <f>B12-C12</f>
        <v/>
      </c>
      <c r="E12" s="26" t="inlineStr">
        <is>
          <t>UNKNOWN</t>
        </is>
      </c>
      <c r="F12" s="6">
        <f>SUMPRODUCT((D$7:D12)*(D$7:D12&gt;0))</f>
        <v/>
      </c>
      <c r="G12" s="14">
        <f>2962145-2846971</f>
        <v/>
      </c>
      <c r="H12" s="10">
        <f>IF(AND(D12&gt;0,G12&gt;0),"YES - RETAINED","Inconclusive")</f>
        <v/>
      </c>
    </row>
    <row r="13">
      <c r="A13" s="4" t="n">
        <v>2017</v>
      </c>
      <c r="B13" s="5" t="n">
        <v>884034</v>
      </c>
      <c r="C13" s="5" t="n">
        <v>895731</v>
      </c>
      <c r="D13" s="14">
        <f>B13-C13</f>
        <v/>
      </c>
      <c r="E13" s="26" t="inlineStr">
        <is>
          <t>UNKNOWN</t>
        </is>
      </c>
      <c r="F13" s="6">
        <f>SUMPRODUCT((D$7:D13)*(D$7:D13&gt;0))</f>
        <v/>
      </c>
      <c r="G13" s="14">
        <f>2950448-2962145</f>
        <v/>
      </c>
      <c r="H13" s="10">
        <f>IF(AND(D13&gt;0,G13&gt;0),"YES - RETAINED","Inconclusive")</f>
        <v/>
      </c>
    </row>
    <row r="14">
      <c r="A14" s="4" t="n">
        <v>2018</v>
      </c>
      <c r="B14" s="5" t="n">
        <v>926473</v>
      </c>
      <c r="C14" s="5" t="n">
        <v>745644</v>
      </c>
      <c r="D14" s="14">
        <f>B14-C14</f>
        <v/>
      </c>
      <c r="E14" s="26" t="inlineStr">
        <is>
          <t>UNKNOWN</t>
        </is>
      </c>
      <c r="F14" s="6">
        <f>SUMPRODUCT((D$7:D14)*(D$7:D14&gt;0))</f>
        <v/>
      </c>
      <c r="G14" s="14">
        <f>3196991-2950448</f>
        <v/>
      </c>
      <c r="H14" s="10">
        <f>IF(AND(D14&gt;0,G14&gt;0),"YES - RETAINED","Inconclusive")</f>
        <v/>
      </c>
    </row>
    <row r="15">
      <c r="A15" s="4" t="n">
        <v>2019</v>
      </c>
      <c r="B15" s="5" t="n">
        <v>998251</v>
      </c>
      <c r="C15" s="5" t="n">
        <v>850536</v>
      </c>
      <c r="D15" s="14">
        <f>B15-C15</f>
        <v/>
      </c>
      <c r="E15" s="26" t="inlineStr">
        <is>
          <t>UNKNOWN</t>
        </is>
      </c>
      <c r="F15" s="6">
        <f>SUMPRODUCT((D$7:D15)*(D$7:D15&gt;0))</f>
        <v/>
      </c>
      <c r="G15" s="14">
        <f>3344706-3196991</f>
        <v/>
      </c>
      <c r="H15" s="10">
        <f>IF(AND(D15&gt;0,G15&gt;0),"YES - RETAINED","Inconclusive")</f>
        <v/>
      </c>
    </row>
    <row r="16">
      <c r="A16" s="4" t="n">
        <v>2020</v>
      </c>
      <c r="B16" s="5" t="n">
        <v>1031234</v>
      </c>
      <c r="C16" s="5" t="n">
        <v>1018430</v>
      </c>
      <c r="D16" s="14">
        <f>B16-C16</f>
        <v/>
      </c>
      <c r="E16" s="26" t="inlineStr">
        <is>
          <t>UNKNOWN</t>
        </is>
      </c>
      <c r="F16" s="6">
        <f>SUMPRODUCT((D$7:D16)*(D$7:D16&gt;0))</f>
        <v/>
      </c>
      <c r="G16" s="14">
        <f>3357510-3344706</f>
        <v/>
      </c>
      <c r="H16" s="10">
        <f>IF(AND(D16&gt;0,G16&gt;0),"YES - RETAINED","Inconclusive")</f>
        <v/>
      </c>
    </row>
    <row r="17">
      <c r="A17" s="4" t="n">
        <v>2021</v>
      </c>
      <c r="B17" s="5" t="n">
        <v>1039957</v>
      </c>
      <c r="C17" s="5" t="n">
        <v>948240</v>
      </c>
      <c r="D17" s="14">
        <f>B17-C17</f>
        <v/>
      </c>
      <c r="E17" s="26" t="inlineStr">
        <is>
          <t>UNKNOWN</t>
        </is>
      </c>
      <c r="F17" s="6">
        <f>SUMPRODUCT((D$7:D17)*(D$7:D17&gt;0))</f>
        <v/>
      </c>
      <c r="G17" s="14">
        <f>3449227-3357510</f>
        <v/>
      </c>
      <c r="H17" s="10">
        <f>IF(AND(D17&gt;0,G17&gt;0),"YES - RETAINED","Inconclusive")</f>
        <v/>
      </c>
    </row>
    <row r="18">
      <c r="A18" s="4" t="n">
        <v>2022</v>
      </c>
      <c r="B18" s="5" t="n">
        <v>1034863</v>
      </c>
      <c r="C18" s="5" t="n">
        <v>861519</v>
      </c>
      <c r="D18" s="14">
        <f>B18-C18</f>
        <v/>
      </c>
      <c r="E18" s="26" t="inlineStr">
        <is>
          <t>UNKNOWN</t>
        </is>
      </c>
      <c r="F18" s="6">
        <f>SUMPRODUCT((D$7:D18)*(D$7:D18&gt;0))</f>
        <v/>
      </c>
      <c r="G18" s="14">
        <f>3604370-3449227</f>
        <v/>
      </c>
      <c r="H18" s="10">
        <f>IF(AND(D18&gt;0,G18&gt;0),"YES - RETAINED","Inconclusive")</f>
        <v/>
      </c>
    </row>
    <row r="19">
      <c r="A19" s="4" t="n">
        <v>2023</v>
      </c>
      <c r="B19" s="5" t="n">
        <v>1041801</v>
      </c>
      <c r="C19" s="5" t="n">
        <v>1009164</v>
      </c>
      <c r="D19" s="14">
        <f>B19-C19</f>
        <v/>
      </c>
      <c r="E19" s="26" t="inlineStr">
        <is>
          <t>UNKNOWN</t>
        </is>
      </c>
      <c r="F19" s="6">
        <f>SUMPRODUCT((D$7:D19)*(D$7:D19&gt;0))</f>
        <v/>
      </c>
      <c r="G19" s="14">
        <f>3637007-3604370</f>
        <v/>
      </c>
      <c r="H19" s="10">
        <f>IF(AND(D19&gt;0,G19&gt;0),"YES - RETAINED","Inconclusive")</f>
        <v/>
      </c>
    </row>
    <row r="20">
      <c r="A20" s="4" t="n">
        <v>2024</v>
      </c>
      <c r="B20" s="5" t="n">
        <v>1048921</v>
      </c>
      <c r="C20" s="5" t="n">
        <v>1565650</v>
      </c>
      <c r="D20" s="14">
        <f>B20-C20</f>
        <v/>
      </c>
      <c r="E20" s="26" t="inlineStr">
        <is>
          <t>UNKNOWN</t>
        </is>
      </c>
      <c r="F20" s="6">
        <f>SUMPRODUCT((D$7:D20)*(D$7:D20&gt;0))</f>
        <v/>
      </c>
      <c r="G20" s="14">
        <f>3120278-3637007</f>
        <v/>
      </c>
      <c r="H20" s="10">
        <f>IF(AND(D20&gt;0,G20&gt;0),"YES - RETAINED","Inconclusive")</f>
        <v/>
      </c>
    </row>
    <row r="21"/>
    <row r="22">
      <c r="A22" s="9" t="inlineStr">
        <is>
          <t>EXHIBIT A FINDINGS</t>
        </is>
      </c>
    </row>
    <row r="23">
      <c r="A23" s="10" t="inlineStr">
        <is>
          <t>Total Years with Surplus</t>
        </is>
      </c>
      <c r="B23" s="23">
        <f>COUNTIF(D7:D20,"&gt;"&amp;0)</f>
        <v/>
      </c>
    </row>
    <row r="24">
      <c r="A24" s="10" t="inlineStr">
        <is>
          <t>Total Surplus Generated (all years)</t>
        </is>
      </c>
      <c r="B24" s="6">
        <f>SUMPRODUCT((D7:D20)*(D7:D20&gt;0))</f>
        <v/>
      </c>
    </row>
    <row r="25">
      <c r="A25" s="10" t="inlineStr">
        <is>
          <t>Total Deficit Years</t>
        </is>
      </c>
      <c r="B25" s="23">
        <f>COUNTIF(D7:D20,"&lt;"&amp;0)</f>
        <v/>
      </c>
    </row>
    <row r="26">
      <c r="A26" s="10" t="inlineStr">
        <is>
          <t>Total Deficits</t>
        </is>
      </c>
      <c r="B26" s="14">
        <f>SUMPRODUCT((D7:D20)*(D7:D20&lt;0))</f>
        <v/>
      </c>
    </row>
    <row r="27">
      <c r="A27" s="10" t="inlineStr">
        <is>
          <t>Net Surplus Over 14 Years</t>
        </is>
      </c>
      <c r="B27" s="14">
        <f>SUM(D7:D20)</f>
        <v/>
      </c>
    </row>
    <row r="28">
      <c r="A28" s="10" t="inlineStr">
        <is>
          <t>Years Where Surplus Was Provably Retained</t>
        </is>
      </c>
      <c r="B28" s="23">
        <f>COUNTIF(H7:H20,"YES*")</f>
        <v/>
      </c>
    </row>
    <row r="29">
      <c r="A29" s="10" t="inlineStr">
        <is>
          <t>Net Asset Growth (2011→2024)</t>
        </is>
      </c>
      <c r="B29" s="14">
        <f>3120278-2913747</f>
        <v/>
      </c>
    </row>
    <row r="30">
      <c r="A30" s="10" t="inlineStr">
        <is>
          <t>If All Surpluses Returned: Expected Net Asset Change</t>
        </is>
      </c>
      <c r="B30" s="14">
        <f>B26</f>
        <v/>
      </c>
    </row>
    <row r="31">
      <c r="A31" s="10" t="inlineStr">
        <is>
          <t>Actual Net Asset Change</t>
        </is>
      </c>
      <c r="B31" s="14">
        <f>B29</f>
        <v/>
      </c>
    </row>
    <row r="32">
      <c r="A32" s="10" t="inlineStr">
        <is>
          <t>DISCREPANCY (Surplus Retained)</t>
        </is>
      </c>
      <c r="B32" s="14">
        <f>B29-B30</f>
        <v/>
      </c>
    </row>
    <row r="33"/>
    <row r="34"/>
    <row r="35">
      <c r="A35" s="9" t="inlineStr">
        <is>
          <t>EXHIBIT B: UNDISCLOSED KAM COMPENSATION</t>
        </is>
      </c>
    </row>
    <row r="36">
      <c r="A36" s="10" t="inlineStr">
        <is>
          <t>KSA Reports Officer Compensation</t>
        </is>
      </c>
      <c r="B36" s="15" t="n">
        <v>0</v>
      </c>
      <c r="C36" s="13" t="inlineStr">
        <is>
          <t>Form 990 Part VII: $0 for all officers including McCormick</t>
        </is>
      </c>
      <c r="D36" s="17" t="n"/>
      <c r="E36" s="17" t="n"/>
      <c r="F36" s="17" t="n"/>
      <c r="G36" s="17" t="n"/>
      <c r="H36" s="18" t="n"/>
    </row>
    <row r="37">
      <c r="A37" s="10" t="inlineStr">
        <is>
          <t>KSA Reports Employee Count</t>
        </is>
      </c>
      <c r="B37" s="16" t="n">
        <v>0</v>
      </c>
      <c r="C37" s="13" t="inlineStr">
        <is>
          <t>Form 990: 0 employees, all years</t>
        </is>
      </c>
      <c r="D37" s="17" t="n"/>
      <c r="E37" s="17" t="n"/>
      <c r="F37" s="17" t="n"/>
      <c r="G37" s="17" t="n"/>
      <c r="H37" s="18" t="n"/>
    </row>
    <row r="38">
      <c r="A38" s="10" t="inlineStr">
        <is>
          <t>G&amp;A Budget (2012 actual)</t>
        </is>
      </c>
      <c r="B38" s="15" t="n">
        <v>182783</v>
      </c>
      <c r="C38" s="13" t="inlineStr">
        <is>
          <t>Includes KAM management contract (amount undisclosed)</t>
        </is>
      </c>
      <c r="D38" s="17" t="n"/>
      <c r="E38" s="17" t="n"/>
      <c r="F38" s="17" t="n"/>
      <c r="G38" s="17" t="n"/>
      <c r="H38" s="18" t="n"/>
    </row>
    <row r="39">
      <c r="A39" s="10" t="inlineStr">
        <is>
          <t>G&amp;A Budget (2009 actual)</t>
        </is>
      </c>
      <c r="B39" s="15" t="n">
        <v>153319</v>
      </c>
      <c r="C39" s="13" t="inlineStr">
        <is>
          <t>KAM contract embedded here</t>
        </is>
      </c>
      <c r="D39" s="17" t="n"/>
      <c r="E39" s="17" t="n"/>
      <c r="F39" s="17" t="n"/>
      <c r="G39" s="17" t="n"/>
      <c r="H39" s="18" t="n"/>
    </row>
    <row r="40">
      <c r="A40" s="10" t="inlineStr">
        <is>
          <t>G&amp;A CAGR (2009→2012)</t>
        </is>
      </c>
      <c r="B40" s="11">
        <f>(B38/B39)^(1/3)-1</f>
        <v/>
      </c>
      <c r="C40" s="13" t="inlineStr">
        <is>
          <t>formula</t>
        </is>
      </c>
      <c r="D40" s="17" t="n"/>
      <c r="E40" s="17" t="n"/>
      <c r="F40" s="17" t="n"/>
      <c r="G40" s="17" t="n"/>
      <c r="H40" s="18" t="n"/>
    </row>
    <row r="41">
      <c r="A41" s="10" t="inlineStr">
        <is>
          <t>Estimated 2024 G&amp;A (at CAGR)</t>
        </is>
      </c>
      <c r="B41" s="6">
        <f>B38*(1+B40)^12</f>
        <v/>
      </c>
      <c r="C41" s="13" t="inlineStr">
        <is>
          <t>formula</t>
        </is>
      </c>
      <c r="D41" s="17" t="n"/>
      <c r="E41" s="17" t="n"/>
      <c r="F41" s="17" t="n"/>
      <c r="G41" s="17" t="n"/>
      <c r="H41" s="18" t="n"/>
    </row>
    <row r="42">
      <c r="A42" s="10" t="inlineStr">
        <is>
          <t>KAM Contract Estimate (50-70% of G&amp;A)</t>
        </is>
      </c>
      <c r="B42" s="6">
        <f>B41*0.5</f>
        <v/>
      </c>
      <c r="C42" s="13" t="inlineStr">
        <is>
          <t>Industry standard: management = 50-70% of G&amp;A</t>
        </is>
      </c>
      <c r="D42" s="17" t="n"/>
      <c r="E42" s="17" t="n"/>
      <c r="F42" s="17" t="n"/>
      <c r="G42" s="17" t="n"/>
      <c r="H42" s="18" t="n"/>
    </row>
    <row r="43">
      <c r="A43" s="10" t="inlineStr">
        <is>
          <t>KAM Contract Estimate (HIGH)</t>
        </is>
      </c>
      <c r="B43" s="6">
        <f>B41*0.7</f>
        <v/>
      </c>
      <c r="C43" s="13" t="inlineStr">
        <is>
          <t>70% of estimated G&amp;A</t>
        </is>
      </c>
      <c r="D43" s="17" t="n"/>
      <c r="E43" s="17" t="n"/>
      <c r="F43" s="17" t="n"/>
      <c r="G43" s="17" t="n"/>
      <c r="H43" s="18" t="n"/>
    </row>
    <row r="44">
      <c r="A44" s="10" t="inlineStr">
        <is>
          <t>Additional: KAM collects from village HOAs</t>
        </is>
      </c>
      <c r="B44" s="26" t="inlineStr">
        <is>
          <t>UNDISCLOSED</t>
        </is>
      </c>
      <c r="C44" s="13" t="inlineStr">
        <is>
          <t>KAM manages both KSA and individual villages</t>
        </is>
      </c>
      <c r="D44" s="17" t="n"/>
      <c r="E44" s="17" t="n"/>
      <c r="F44" s="17" t="n"/>
      <c r="G44" s="17" t="n"/>
      <c r="H44" s="18" t="n"/>
    </row>
    <row r="45">
      <c r="A45" s="10" t="inlineStr">
        <is>
          <t>Total KAM Revenue from Kingwood</t>
        </is>
      </c>
      <c r="B45" s="26" t="inlineStr">
        <is>
          <t>UNKNOWN</t>
        </is>
      </c>
      <c r="C45" s="13" t="inlineStr">
        <is>
          <t>Private company — no public disclosure</t>
        </is>
      </c>
      <c r="D45" s="17" t="n"/>
      <c r="E45" s="17" t="n"/>
      <c r="F45" s="17" t="n"/>
      <c r="G45" s="17" t="n"/>
      <c r="H45" s="18" t="n"/>
    </row>
    <row r="46"/>
    <row r="47">
      <c r="A47" s="9" t="inlineStr">
        <is>
          <t>EXHIBIT C: 2024 EXPENSE ANOMALY — FORENSIC BREAKDOWN</t>
        </is>
      </c>
    </row>
    <row r="48">
      <c r="A48" s="10" t="inlineStr">
        <is>
          <t>2024 Total Expenses</t>
        </is>
      </c>
      <c r="B48" s="15" t="n">
        <v>1565650</v>
      </c>
      <c r="C48" s="13" t="inlineStr">
        <is>
          <t>Highest in KSA history</t>
        </is>
      </c>
    </row>
    <row r="49">
      <c r="A49" s="10" t="inlineStr">
        <is>
          <t>2023 Total Expenses</t>
        </is>
      </c>
      <c r="B49" s="15" t="n">
        <v>1009164</v>
      </c>
      <c r="C49" s="13" t="inlineStr">
        <is>
          <t>Prior year (normal)</t>
        </is>
      </c>
    </row>
    <row r="50">
      <c r="A50" s="10" t="inlineStr">
        <is>
          <t>YoY Increase ($)</t>
        </is>
      </c>
      <c r="B50" s="6">
        <f>B48-B49</f>
        <v/>
      </c>
      <c r="C50" s="13" t="inlineStr">
        <is>
          <t>formula</t>
        </is>
      </c>
    </row>
    <row r="51">
      <c r="A51" s="10" t="inlineStr">
        <is>
          <t>YoY Increase (%)</t>
        </is>
      </c>
      <c r="B51" s="7">
        <f>B50/B49</f>
        <v/>
      </c>
      <c r="C51" s="13" t="inlineStr">
        <is>
          <t>formula</t>
        </is>
      </c>
    </row>
    <row r="52">
      <c r="A52" s="10" t="inlineStr">
        <is>
          <t>14-Year Median Expenses</t>
        </is>
      </c>
      <c r="B52" s="6">
        <f>MEDIAN('Revenue Analysis'!F5:'Revenue Analysis'!F18)</f>
        <v/>
      </c>
      <c r="C52" s="13" t="inlineStr">
        <is>
          <t>formula</t>
        </is>
      </c>
    </row>
    <row r="53">
      <c r="A53" s="10" t="inlineStr">
        <is>
          <t>2024 vs Median ($)</t>
        </is>
      </c>
      <c r="B53" s="6">
        <f>B48-B52</f>
        <v/>
      </c>
      <c r="C53" s="13" t="inlineStr">
        <is>
          <t>formula</t>
        </is>
      </c>
    </row>
    <row r="54">
      <c r="A54" s="10" t="inlineStr">
        <is>
          <t>2024 vs Median (%)</t>
        </is>
      </c>
      <c r="B54" s="7">
        <f>B53/B52</f>
        <v/>
      </c>
      <c r="C54" s="13" t="inlineStr">
        <is>
          <t>formula</t>
        </is>
      </c>
    </row>
    <row r="55">
      <c r="A55" s="10" t="inlineStr">
        <is>
          <t>14-Year Std Deviation</t>
        </is>
      </c>
      <c r="B55" s="6">
        <f>STDEV('Revenue Analysis'!F5:'Revenue Analysis'!F18)</f>
        <v/>
      </c>
      <c r="C55" s="13" t="inlineStr">
        <is>
          <t>formula</t>
        </is>
      </c>
    </row>
    <row r="56">
      <c r="A56" s="10" t="inlineStr">
        <is>
          <t>Z-Score (how many std devs from mean)</t>
        </is>
      </c>
      <c r="B56" s="27">
        <f>(B48-AVERAGE(B52,B52))/B55</f>
        <v/>
      </c>
      <c r="C56" s="13" t="inlineStr">
        <is>
          <t>formula</t>
        </is>
      </c>
    </row>
    <row r="57">
      <c r="A57" s="10" t="inlineStr">
        <is>
          <t>STATISTICAL SIGNIFICANCE</t>
        </is>
      </c>
      <c r="B57" s="28">
        <f>IF(B56&gt;2,"STATISTICALLY ANOMALOUS (&gt;2σ)",IF(B56&gt;1.5,"ELEVATED","NORMAL"))</f>
        <v/>
      </c>
      <c r="C57" s="13" t="inlineStr">
        <is>
          <t>formula</t>
        </is>
      </c>
    </row>
    <row r="58"/>
    <row r="59"/>
    <row r="60">
      <c r="A60" s="9" t="inlineStr">
        <is>
          <t>EXHIBIT D: MILLS BRANCH CASCADE — WHAT IF ALL VILLAGES FILE?</t>
        </is>
      </c>
    </row>
    <row r="61">
      <c r="A61" s="10" t="inlineStr">
        <is>
          <t>Member Associations</t>
        </is>
      </c>
      <c r="B61" s="16" t="n">
        <v>29</v>
      </c>
      <c r="C61" s="13" t="inlineStr">
        <is>
          <t>Villages + commercial</t>
        </is>
      </c>
    </row>
    <row r="62">
      <c r="A62" s="10" t="inlineStr">
        <is>
          <t>Mills Branch Damages Sought</t>
        </is>
      </c>
      <c r="B62" s="15" t="n">
        <v>250000</v>
      </c>
      <c r="C62" s="13" t="inlineStr">
        <is>
          <t>Per lawsuit filing</t>
        </is>
      </c>
    </row>
    <row r="63">
      <c r="A63" s="10" t="inlineStr">
        <is>
          <t>If All Villages File (worst case)</t>
        </is>
      </c>
      <c r="B63" s="6">
        <f>B61*B62</f>
        <v/>
      </c>
      <c r="C63" s="13" t="inlineStr">
        <is>
          <t>formula</t>
        </is>
      </c>
    </row>
    <row r="64">
      <c r="A64" s="10" t="inlineStr">
        <is>
          <t>KSA Total Assets (2024)</t>
        </is>
      </c>
      <c r="B64" s="15" t="n">
        <v>3123778</v>
      </c>
      <c r="C64" s="13" t="inlineStr">
        <is>
          <t>From 990</t>
        </is>
      </c>
    </row>
    <row r="65">
      <c r="A65" s="10" t="inlineStr">
        <is>
          <t>KSA Cash/Investments (2024)</t>
        </is>
      </c>
      <c r="B65" s="15" t="n">
        <v>2092894</v>
      </c>
      <c r="C65" s="13" t="inlineStr">
        <is>
          <t>Liquid reserves</t>
        </is>
      </c>
    </row>
    <row r="66">
      <c r="A66" s="10" t="inlineStr">
        <is>
          <t>Shortfall if All File (vs assets)</t>
        </is>
      </c>
      <c r="B66" s="14">
        <f>B64-B63</f>
        <v/>
      </c>
      <c r="C66" s="13" t="inlineStr">
        <is>
          <t>formula</t>
        </is>
      </c>
    </row>
    <row r="67">
      <c r="A67" s="10" t="inlineStr">
        <is>
          <t>Shortfall if All File (vs cash)</t>
        </is>
      </c>
      <c r="B67" s="14">
        <f>B65-B63</f>
        <v/>
      </c>
      <c r="C67" s="13" t="inlineStr">
        <is>
          <t>formula</t>
        </is>
      </c>
    </row>
    <row r="68">
      <c r="A68" s="10" t="inlineStr">
        <is>
          <t>% of Assets at Risk</t>
        </is>
      </c>
      <c r="B68" s="7">
        <f>B63/B64</f>
        <v/>
      </c>
      <c r="C68" s="13" t="inlineStr">
        <is>
          <t>formula</t>
        </is>
      </c>
    </row>
    <row r="69">
      <c r="A69" s="10" t="inlineStr">
        <is>
          <t>SOLVENCY STATUS</t>
        </is>
      </c>
      <c r="B69" s="28">
        <f>IF(B66&lt;0,"INSOLVENT — assets &lt; liability","Solvent but impaired")</f>
        <v/>
      </c>
      <c r="C69" s="13" t="inlineStr">
        <is>
          <t>formula</t>
        </is>
      </c>
    </row>
    <row r="70"/>
    <row r="71"/>
    <row r="72">
      <c r="A72" s="9" t="inlineStr">
        <is>
          <t>EXHIBIT E: SELF-DEALING RED FLAG SCORECARD</t>
        </is>
      </c>
    </row>
    <row r="73">
      <c r="A73" s="3" t="inlineStr">
        <is>
          <t>Red Flag</t>
        </is>
      </c>
      <c r="B73" s="3" t="inlineStr">
        <is>
          <t>Present?</t>
        </is>
      </c>
      <c r="C73" s="3" t="inlineStr">
        <is>
          <t>Severity</t>
        </is>
      </c>
      <c r="D73" s="3" t="inlineStr">
        <is>
          <t>Evidence</t>
        </is>
      </c>
    </row>
    <row r="74">
      <c r="A74" s="12" t="inlineStr">
        <is>
          <t>Management company owner sits on nonprofit board</t>
        </is>
      </c>
      <c r="B74" s="29" t="inlineStr">
        <is>
          <t>YES</t>
        </is>
      </c>
      <c r="C74" s="30" t="inlineStr">
        <is>
          <t>CRITICAL</t>
        </is>
      </c>
      <c r="D74" s="13" t="inlineStr">
        <is>
          <t>Textbook interlocking directorate</t>
        </is>
      </c>
    </row>
    <row r="75">
      <c r="A75" s="12" t="inlineStr">
        <is>
          <t>Same company manages overseer AND overseen</t>
        </is>
      </c>
      <c r="B75" s="29" t="inlineStr">
        <is>
          <t>YES</t>
        </is>
      </c>
      <c r="C75" s="30" t="inlineStr">
        <is>
          <t>CRITICAL</t>
        </is>
      </c>
      <c r="D75" s="13" t="inlineStr">
        <is>
          <t>KAM manages villages that appoint KSA board</t>
        </is>
      </c>
    </row>
    <row r="76">
      <c r="A76" s="12" t="inlineStr">
        <is>
          <t>$0 officer compensation with undisclosed contractor pay</t>
        </is>
      </c>
      <c r="B76" s="29" t="inlineStr">
        <is>
          <t>YES</t>
        </is>
      </c>
      <c r="C76" s="31" t="inlineStr">
        <is>
          <t>HIGH</t>
        </is>
      </c>
      <c r="D76" s="13" t="inlineStr">
        <is>
          <t>McCormick paid via KAM, not reported on 990</t>
        </is>
      </c>
    </row>
    <row r="77">
      <c r="A77" s="12" t="inlineStr">
        <is>
          <t>No evidence of competitive bidding</t>
        </is>
      </c>
      <c r="B77" s="29" t="inlineStr">
        <is>
          <t>YES</t>
        </is>
      </c>
      <c r="C77" s="31" t="inlineStr">
        <is>
          <t>HIGH</t>
        </is>
      </c>
      <c r="D77" s="13" t="inlineStr">
        <is>
          <t>KAM contract appears to be no-bid</t>
        </is>
      </c>
    </row>
    <row r="78">
      <c r="A78" s="12" t="inlineStr">
        <is>
          <t>BBB F rating — refuses to respond to complaints</t>
        </is>
      </c>
      <c r="B78" s="29" t="inlineStr">
        <is>
          <t>YES</t>
        </is>
      </c>
      <c r="C78" s="31" t="inlineStr">
        <is>
          <t>HIGH</t>
        </is>
      </c>
      <c r="D78" s="13" t="inlineStr">
        <is>
          <t>Pattern of avoiding accountability</t>
        </is>
      </c>
    </row>
    <row r="79">
      <c r="A79" s="12" t="inlineStr">
        <is>
          <t>Refused contractual arbitration (Mills Branch)</t>
        </is>
      </c>
      <c r="B79" s="29" t="inlineStr">
        <is>
          <t>YES</t>
        </is>
      </c>
      <c r="C79" s="31" t="inlineStr">
        <is>
          <t>HIGH</t>
        </is>
      </c>
      <c r="D79" s="13" t="inlineStr">
        <is>
          <t>Only sought arbitration after being sued</t>
        </is>
      </c>
    </row>
    <row r="80">
      <c r="A80" s="12" t="inlineStr">
        <is>
          <t>Management departure and swift return</t>
        </is>
      </c>
      <c r="B80" s="29" t="inlineStr">
        <is>
          <t>YES</t>
        </is>
      </c>
      <c r="C80" s="32" t="inlineStr">
        <is>
          <t>MEDIUM</t>
        </is>
      </c>
      <c r="D80" s="13" t="inlineStr">
        <is>
          <t>FirstService Residential displaced without explanation</t>
        </is>
      </c>
    </row>
    <row r="81">
      <c r="A81" s="12" t="inlineStr">
        <is>
          <t>$0 rental income despite 6+ active leases</t>
        </is>
      </c>
      <c r="B81" s="29" t="inlineStr">
        <is>
          <t>YES</t>
        </is>
      </c>
      <c r="C81" s="32" t="inlineStr">
        <is>
          <t>MEDIUM</t>
        </is>
      </c>
      <c r="D81" s="13" t="inlineStr">
        <is>
          <t>Either misclassified or at-cost (unusual)</t>
        </is>
      </c>
    </row>
    <row r="82">
      <c r="A82" s="12" t="inlineStr">
        <is>
          <t>Same physical address for nonprofit and for-profit</t>
        </is>
      </c>
      <c r="B82" s="29" t="inlineStr">
        <is>
          <t>YES</t>
        </is>
      </c>
      <c r="C82" s="32" t="inlineStr">
        <is>
          <t>MEDIUM</t>
        </is>
      </c>
      <c r="D82" s="13" t="inlineStr">
        <is>
          <t>1075 Kingwood Dr #100</t>
        </is>
      </c>
    </row>
    <row r="83">
      <c r="A83" s="12" t="inlineStr">
        <is>
          <t>BBB lists management company as alternate name</t>
        </is>
      </c>
      <c r="B83" s="29" t="inlineStr">
        <is>
          <t>YES</t>
        </is>
      </c>
      <c r="C83" s="32" t="inlineStr">
        <is>
          <t>MEDIUM</t>
        </is>
      </c>
      <c r="D83" s="13" t="inlineStr">
        <is>
          <t>Entities functionally interchangeable</t>
        </is>
      </c>
    </row>
    <row r="84">
      <c r="A84" s="12" t="inlineStr">
        <is>
          <t>Unexplained 55% expense spike in year of lawsuit</t>
        </is>
      </c>
      <c r="B84" s="29" t="inlineStr">
        <is>
          <t>YES</t>
        </is>
      </c>
      <c r="C84" s="32" t="inlineStr">
        <is>
          <t>MEDIUM</t>
        </is>
      </c>
      <c r="D84" s="13" t="inlineStr">
        <is>
          <t>2024: $1.57M expenses, coincides with Mills Branch</t>
        </is>
      </c>
    </row>
    <row r="85">
      <c r="A85" s="12" t="inlineStr">
        <is>
          <t>Wild liability swings ($170K → $0 → $3.5K)</t>
        </is>
      </c>
      <c r="B85" s="29" t="inlineStr">
        <is>
          <t>YES</t>
        </is>
      </c>
      <c r="C85" s="32" t="inlineStr">
        <is>
          <t>LOW</t>
        </is>
      </c>
      <c r="D85" s="13" t="inlineStr">
        <is>
          <t>May indicate inconsistent accounting</t>
        </is>
      </c>
    </row>
    <row r="86"/>
    <row r="87">
      <c r="A87" s="10" t="inlineStr">
        <is>
          <t>TOTAL RED FLAGS PRESENT</t>
        </is>
      </c>
      <c r="B87" s="33">
        <f>COUNTIF(B74:B86,"YES")</f>
        <v/>
      </c>
      <c r="C87" s="10" t="inlineStr">
        <is>
          <t>out of 12</t>
        </is>
      </c>
    </row>
  </sheetData>
  <mergeCells count="13">
    <mergeCell ref="A1:H1"/>
    <mergeCell ref="C38:H38"/>
    <mergeCell ref="C41:H41"/>
    <mergeCell ref="C42:H42"/>
    <mergeCell ref="C36:H36"/>
    <mergeCell ref="C43:H43"/>
    <mergeCell ref="C44:H44"/>
    <mergeCell ref="C37:H37"/>
    <mergeCell ref="A2:H2"/>
    <mergeCell ref="C40:H40"/>
    <mergeCell ref="C45:H45"/>
    <mergeCell ref="C39:H39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2026-03-22T20:40:39Z</dcterms:created>
  <dcterms:modified xsi:type="dcterms:W3CDTF">2026-03-22T20:40:39Z</dcterms:modified>
</cp:coreProperties>
</file>